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updateLinks="always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128524_openbank_es/Documents/Documents/71.- GDPR/"/>
    </mc:Choice>
  </mc:AlternateContent>
  <xr:revisionPtr revIDLastSave="0" documentId="8_{3E30B256-29AA-41CD-AEB3-1E1B21EB2FCD}" xr6:coauthVersionLast="47" xr6:coauthVersionMax="47" xr10:uidLastSave="{00000000-0000-0000-0000-000000000000}"/>
  <bookViews>
    <workbookView xWindow="1650" yWindow="-16320" windowWidth="29040" windowHeight="15720" tabRatio="886" firstSheet="2" activeTab="2" xr2:uid="{90CF1260-6747-40EF-A6A7-E97AE8F0C0E2}"/>
  </bookViews>
  <sheets>
    <sheet name="Limitación" sheetId="6" state="hidden" r:id="rId1"/>
    <sheet name="Hoja1" sheetId="12" state="hidden" r:id="rId2"/>
    <sheet name="Volúmenes GDPR Manual" sheetId="14" r:id="rId3"/>
    <sheet name="Catálogo de servicios v0.1" sheetId="16" r:id="rId4"/>
    <sheet name="Catálogo de servicios v0.2" sheetId="18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3" hidden="1">'Catálogo de servicios v0.1'!$B$4:$B$80</definedName>
    <definedName name="_xlnm._FilterDatabase" localSheetId="4" hidden="1">'Catálogo de servicios v0.2'!$C$4:$C$84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4" l="1"/>
  <c r="E31" i="14"/>
  <c r="F31" i="14"/>
  <c r="G31" i="14"/>
  <c r="H31" i="14"/>
  <c r="I31" i="14"/>
  <c r="J31" i="14"/>
  <c r="K31" i="14"/>
  <c r="D30" i="14"/>
  <c r="E30" i="14"/>
  <c r="F30" i="14"/>
  <c r="G30" i="14"/>
  <c r="H30" i="14"/>
  <c r="I30" i="14"/>
  <c r="J30" i="14"/>
  <c r="K30" i="14"/>
  <c r="D26" i="14"/>
  <c r="E26" i="14"/>
  <c r="G26" i="14"/>
  <c r="H26" i="14"/>
  <c r="J26" i="14"/>
  <c r="K26" i="14"/>
  <c r="D27" i="14"/>
  <c r="E27" i="14"/>
  <c r="G27" i="14"/>
  <c r="H27" i="14"/>
  <c r="J27" i="14"/>
  <c r="K27" i="14"/>
  <c r="D28" i="14"/>
  <c r="E28" i="14"/>
  <c r="F28" i="14"/>
  <c r="G28" i="14"/>
  <c r="H28" i="14"/>
  <c r="I28" i="14"/>
  <c r="J28" i="14"/>
  <c r="K28" i="14"/>
  <c r="AB28" i="18"/>
  <c r="AB29" i="18"/>
  <c r="AB31" i="18"/>
  <c r="AB32" i="18"/>
  <c r="AB33" i="18"/>
  <c r="AB45" i="18"/>
  <c r="AB54" i="18"/>
  <c r="AB55" i="18"/>
  <c r="AB59" i="18"/>
  <c r="AC45" i="18"/>
  <c r="AC33" i="18"/>
  <c r="AC32" i="18"/>
  <c r="AC31" i="18"/>
  <c r="AC29" i="18"/>
  <c r="AC28" i="18"/>
  <c r="D67" i="18"/>
  <c r="D64" i="18"/>
  <c r="F15" i="18"/>
  <c r="E15" i="18"/>
  <c r="D119" i="18"/>
  <c r="P15" i="18" s="1"/>
  <c r="D129" i="18"/>
  <c r="D172" i="18"/>
  <c r="AA15" i="18" s="1"/>
  <c r="AC59" i="18" s="1"/>
  <c r="D168" i="18"/>
  <c r="Z15" i="18" s="1"/>
  <c r="AC58" i="18" s="1"/>
  <c r="D163" i="18"/>
  <c r="Y15" i="18" s="1"/>
  <c r="AC57" i="18" s="1"/>
  <c r="D160" i="18"/>
  <c r="X15" i="18" s="1"/>
  <c r="AC56" i="18" s="1"/>
  <c r="D153" i="18"/>
  <c r="W15" i="18" s="1"/>
  <c r="AC55" i="18" s="1"/>
  <c r="D147" i="18"/>
  <c r="V15" i="18" s="1"/>
  <c r="AC54" i="18" s="1"/>
  <c r="D142" i="18"/>
  <c r="U15" i="18" s="1"/>
  <c r="D138" i="18"/>
  <c r="D134" i="18"/>
  <c r="D124" i="18"/>
  <c r="Q15" i="18" s="1"/>
  <c r="D115" i="18"/>
  <c r="O15" i="18" s="1"/>
  <c r="D110" i="18"/>
  <c r="N15" i="18" s="1"/>
  <c r="D105" i="18"/>
  <c r="M15" i="18" s="1"/>
  <c r="D101" i="18"/>
  <c r="L15" i="18" s="1"/>
  <c r="D96" i="18"/>
  <c r="K15" i="18" s="1"/>
  <c r="D90" i="18"/>
  <c r="J15" i="18" s="1"/>
  <c r="D85" i="18"/>
  <c r="I15" i="18" s="1"/>
  <c r="D79" i="18"/>
  <c r="H15" i="18" s="1"/>
  <c r="D72" i="18"/>
  <c r="G15" i="18" s="1"/>
  <c r="D27" i="18"/>
  <c r="D25" i="18"/>
  <c r="D24" i="18"/>
  <c r="AG6" i="14" a="1"/>
  <c r="AG6" i="14" s="1"/>
  <c r="AG14" i="14" a="1"/>
  <c r="AG14" i="14" s="1"/>
  <c r="AD22" i="14"/>
  <c r="S15" i="18" l="1"/>
  <c r="AB57" i="18"/>
  <c r="T15" i="18"/>
  <c r="AB58" i="18"/>
  <c r="R15" i="18"/>
  <c r="AB56" i="18"/>
  <c r="AB19" i="18"/>
  <c r="AB20" i="18"/>
  <c r="AB21" i="18"/>
  <c r="AB22" i="18"/>
  <c r="AB23" i="18"/>
  <c r="AB24" i="18"/>
  <c r="AB25" i="18"/>
  <c r="AB26" i="18"/>
  <c r="AB27" i="18"/>
  <c r="AB30" i="18"/>
  <c r="AB34" i="18"/>
  <c r="AB35" i="18"/>
  <c r="AB36" i="18"/>
  <c r="AB37" i="18"/>
  <c r="AB38" i="18"/>
  <c r="AB39" i="18"/>
  <c r="AB40" i="18"/>
  <c r="AB41" i="18"/>
  <c r="AB42" i="18"/>
  <c r="AB43" i="18"/>
  <c r="AB44" i="18"/>
  <c r="AB46" i="18"/>
  <c r="AB47" i="18"/>
  <c r="AB48" i="18"/>
  <c r="AB49" i="18"/>
  <c r="AB50" i="18"/>
  <c r="AB51" i="18"/>
  <c r="AB52" i="18"/>
  <c r="AB53" i="18"/>
  <c r="AC53" i="18"/>
  <c r="AC52" i="18"/>
  <c r="AC51" i="18"/>
  <c r="AC50" i="18"/>
  <c r="AC49" i="18"/>
  <c r="AC48" i="18"/>
  <c r="AC47" i="18"/>
  <c r="AC46" i="18"/>
  <c r="AC44" i="18"/>
  <c r="AC43" i="18"/>
  <c r="AC42" i="18"/>
  <c r="AC41" i="18"/>
  <c r="AC40" i="18"/>
  <c r="AC39" i="18"/>
  <c r="AC38" i="18"/>
  <c r="AC37" i="18"/>
  <c r="AC36" i="18"/>
  <c r="AC35" i="18"/>
  <c r="AC34" i="18"/>
  <c r="AC30" i="18"/>
  <c r="AC27" i="18"/>
  <c r="AC26" i="18"/>
  <c r="AC25" i="18"/>
  <c r="AC24" i="18"/>
  <c r="AC23" i="18"/>
  <c r="AC22" i="18"/>
  <c r="AC21" i="18"/>
  <c r="AC20" i="18"/>
  <c r="AC19" i="18"/>
  <c r="G13" i="16"/>
  <c r="B58" i="18"/>
  <c r="B57" i="18"/>
  <c r="B55" i="18"/>
  <c r="D55" i="18" s="1"/>
  <c r="E5" i="18"/>
  <c r="E8" i="18"/>
  <c r="G5" i="18"/>
  <c r="I5" i="18"/>
  <c r="K5" i="18"/>
  <c r="L5" i="18"/>
  <c r="M5" i="18"/>
  <c r="N5" i="18"/>
  <c r="O5" i="18"/>
  <c r="C6" i="18"/>
  <c r="C5" i="18"/>
  <c r="G7" i="18"/>
  <c r="D59" i="18"/>
  <c r="D58" i="18"/>
  <c r="D57" i="18"/>
  <c r="D56" i="18"/>
  <c r="D54" i="18"/>
  <c r="D53" i="18"/>
  <c r="D52" i="18"/>
  <c r="J6" i="18"/>
  <c r="D51" i="18"/>
  <c r="J5" i="18"/>
  <c r="D50" i="18"/>
  <c r="D49" i="18"/>
  <c r="D48" i="18"/>
  <c r="I6" i="18"/>
  <c r="D47" i="18"/>
  <c r="D46" i="18"/>
  <c r="D45" i="18"/>
  <c r="D44" i="18"/>
  <c r="H6" i="18"/>
  <c r="D43" i="18"/>
  <c r="H5" i="18"/>
  <c r="D42" i="18"/>
  <c r="D41" i="18"/>
  <c r="D40" i="18"/>
  <c r="G6" i="18"/>
  <c r="D39" i="18"/>
  <c r="D38" i="18"/>
  <c r="D37" i="18"/>
  <c r="D36" i="18"/>
  <c r="F6" i="18"/>
  <c r="D35" i="18"/>
  <c r="F5" i="18"/>
  <c r="D34" i="18"/>
  <c r="D33" i="18"/>
  <c r="E7" i="18"/>
  <c r="D32" i="18"/>
  <c r="E6" i="18"/>
  <c r="D31" i="18"/>
  <c r="D30" i="18"/>
  <c r="D29" i="18"/>
  <c r="D28" i="18"/>
  <c r="D6" i="18"/>
  <c r="D26" i="18"/>
  <c r="D5" i="18"/>
  <c r="D23" i="18"/>
  <c r="D22" i="18"/>
  <c r="D21" i="18"/>
  <c r="D20" i="18"/>
  <c r="D19" i="18"/>
  <c r="I7" i="18" l="1"/>
  <c r="F8" i="18"/>
  <c r="H8" i="18"/>
  <c r="F7" i="18"/>
  <c r="I8" i="18"/>
  <c r="G8" i="18"/>
  <c r="D8" i="18"/>
  <c r="H7" i="18"/>
  <c r="D7" i="18"/>
  <c r="J8" i="18"/>
  <c r="J7" i="18"/>
  <c r="L41" i="14"/>
  <c r="H106" i="14"/>
  <c r="H105" i="14"/>
  <c r="H104" i="14"/>
  <c r="H103" i="14"/>
  <c r="H102" i="14"/>
  <c r="G105" i="14"/>
  <c r="G106" i="14"/>
  <c r="I82" i="14"/>
  <c r="I83" i="14"/>
  <c r="I84" i="14"/>
  <c r="I85" i="14"/>
  <c r="I81" i="14"/>
  <c r="E86" i="14"/>
  <c r="E85" i="14"/>
  <c r="E84" i="14"/>
  <c r="H84" i="14" s="1"/>
  <c r="E83" i="14"/>
  <c r="H83" i="14" s="1"/>
  <c r="P85" i="14"/>
  <c r="L56" i="14" l="1"/>
  <c r="R34" i="14"/>
  <c r="R30" i="14"/>
  <c r="C54" i="16"/>
  <c r="C53" i="16"/>
  <c r="C51" i="16"/>
  <c r="C52" i="16"/>
  <c r="C55" i="16"/>
  <c r="B63" i="14" l="1"/>
  <c r="T55" i="16"/>
  <c r="T54" i="16"/>
  <c r="T53" i="16"/>
  <c r="T52" i="16"/>
  <c r="AQ6" i="14" l="1"/>
  <c r="K5" i="16"/>
  <c r="AR6" i="14"/>
  <c r="L5" i="16"/>
  <c r="AS6" i="14"/>
  <c r="M5" i="16"/>
  <c r="AT6" i="14"/>
  <c r="N5" i="16"/>
  <c r="B26" i="14"/>
  <c r="T51" i="16"/>
  <c r="AP6" i="14" l="1"/>
  <c r="J5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19" i="16"/>
  <c r="BK2" i="14"/>
  <c r="D57" i="14"/>
  <c r="E57" i="14"/>
  <c r="F57" i="14"/>
  <c r="G57" i="14"/>
  <c r="H57" i="14"/>
  <c r="I57" i="14"/>
  <c r="J57" i="14"/>
  <c r="K57" i="14"/>
  <c r="D58" i="14"/>
  <c r="E58" i="14"/>
  <c r="F58" i="14"/>
  <c r="G58" i="14"/>
  <c r="H58" i="14"/>
  <c r="I58" i="14"/>
  <c r="J58" i="14"/>
  <c r="K58" i="14"/>
  <c r="D59" i="14"/>
  <c r="E59" i="14"/>
  <c r="F59" i="14"/>
  <c r="G59" i="14"/>
  <c r="H59" i="14"/>
  <c r="I59" i="14"/>
  <c r="J59" i="14"/>
  <c r="K59" i="14"/>
  <c r="K56" i="14"/>
  <c r="E56" i="14"/>
  <c r="G56" i="14"/>
  <c r="H56" i="14"/>
  <c r="I56" i="14"/>
  <c r="J56" i="14"/>
  <c r="D56" i="14"/>
  <c r="F22" i="14"/>
  <c r="F18" i="14"/>
  <c r="F14" i="14"/>
  <c r="F10" i="14"/>
  <c r="F6" i="14"/>
  <c r="B6" i="14" s="1"/>
  <c r="G81" i="14" s="1"/>
  <c r="T50" i="16" l="1"/>
  <c r="I8" i="16" s="1"/>
  <c r="AO9" i="14" s="1"/>
  <c r="T49" i="16"/>
  <c r="I7" i="16" s="1"/>
  <c r="AO8" i="14" s="1"/>
  <c r="T48" i="16"/>
  <c r="I6" i="16" s="1"/>
  <c r="AO7" i="14" s="1"/>
  <c r="Z57" i="14" s="1"/>
  <c r="T47" i="16"/>
  <c r="I5" i="16" s="1"/>
  <c r="AO6" i="14" s="1"/>
  <c r="T46" i="16"/>
  <c r="H8" i="16" s="1"/>
  <c r="AN9" i="14" s="1"/>
  <c r="T45" i="16"/>
  <c r="H7" i="16" s="1"/>
  <c r="AN8" i="14" s="1"/>
  <c r="T44" i="16"/>
  <c r="H6" i="16" s="1"/>
  <c r="AN7" i="14" s="1"/>
  <c r="Y57" i="14" s="1"/>
  <c r="T43" i="16"/>
  <c r="H5" i="16" s="1"/>
  <c r="AN6" i="14" s="1"/>
  <c r="T42" i="16"/>
  <c r="G8" i="16" s="1"/>
  <c r="AM9" i="14" s="1"/>
  <c r="X59" i="14" s="1"/>
  <c r="T41" i="16"/>
  <c r="G7" i="16" s="1"/>
  <c r="AM8" i="14" s="1"/>
  <c r="X58" i="14" s="1"/>
  <c r="T40" i="16"/>
  <c r="G6" i="16" s="1"/>
  <c r="AM7" i="14" s="1"/>
  <c r="T39" i="16"/>
  <c r="G5" i="16" s="1"/>
  <c r="AM6" i="14" s="1"/>
  <c r="T38" i="16"/>
  <c r="F8" i="16" s="1"/>
  <c r="AL9" i="14" s="1"/>
  <c r="T37" i="16"/>
  <c r="T36" i="16"/>
  <c r="F6" i="16" s="1"/>
  <c r="AL7" i="14" s="1"/>
  <c r="T35" i="16"/>
  <c r="F5" i="16" s="1"/>
  <c r="AL6" i="14" s="1"/>
  <c r="T34" i="16"/>
  <c r="E8" i="16" s="1"/>
  <c r="AK9" i="14" s="1"/>
  <c r="T33" i="16"/>
  <c r="E7" i="16" s="1"/>
  <c r="AK8" i="14" s="1"/>
  <c r="T32" i="16"/>
  <c r="E6" i="16" s="1"/>
  <c r="AK7" i="14" s="1"/>
  <c r="T31" i="16"/>
  <c r="E5" i="16" s="1"/>
  <c r="AK6" i="14" s="1"/>
  <c r="V56" i="14" s="1"/>
  <c r="T30" i="16"/>
  <c r="D8" i="16" s="1"/>
  <c r="AJ9" i="14" s="1"/>
  <c r="U59" i="14" s="1"/>
  <c r="T29" i="16"/>
  <c r="D7" i="16" s="1"/>
  <c r="AJ8" i="14" s="1"/>
  <c r="T28" i="16"/>
  <c r="D6" i="16" s="1"/>
  <c r="AJ7" i="14" s="1"/>
  <c r="U57" i="14" s="1"/>
  <c r="T27" i="16"/>
  <c r="D5" i="16" s="1"/>
  <c r="AJ6" i="14" s="1"/>
  <c r="T26" i="16"/>
  <c r="C8" i="16" s="1"/>
  <c r="AI9" i="14" s="1"/>
  <c r="T25" i="16"/>
  <c r="C7" i="16" s="1"/>
  <c r="AI8" i="14" s="1"/>
  <c r="T24" i="16"/>
  <c r="C6" i="16" s="1"/>
  <c r="AI7" i="14" s="1"/>
  <c r="T57" i="14" s="1"/>
  <c r="T23" i="16"/>
  <c r="C5" i="16" s="1"/>
  <c r="AI6" i="14" s="1"/>
  <c r="T22" i="16"/>
  <c r="B8" i="16" s="1"/>
  <c r="AH9" i="14" s="1"/>
  <c r="T21" i="16"/>
  <c r="T20" i="16"/>
  <c r="B6" i="16" s="1"/>
  <c r="AH7" i="14" s="1"/>
  <c r="T19" i="16"/>
  <c r="B5" i="16" s="1"/>
  <c r="AH6" i="14" s="1"/>
  <c r="G82" i="14"/>
  <c r="G101" i="14" s="1"/>
  <c r="G100" i="14"/>
  <c r="AB63" i="14"/>
  <c r="AC63" i="14"/>
  <c r="AD63" i="14"/>
  <c r="AE63" i="14"/>
  <c r="AA63" i="14"/>
  <c r="S64" i="14"/>
  <c r="T64" i="14"/>
  <c r="U64" i="14"/>
  <c r="V64" i="14"/>
  <c r="W64" i="14"/>
  <c r="X64" i="14"/>
  <c r="Y64" i="14"/>
  <c r="Z64" i="14"/>
  <c r="S65" i="14"/>
  <c r="T65" i="14"/>
  <c r="U65" i="14"/>
  <c r="V65" i="14"/>
  <c r="W65" i="14"/>
  <c r="X65" i="14"/>
  <c r="Y65" i="14"/>
  <c r="Z65" i="14"/>
  <c r="S66" i="14"/>
  <c r="T66" i="14"/>
  <c r="U66" i="14"/>
  <c r="V66" i="14"/>
  <c r="W66" i="14"/>
  <c r="X66" i="14"/>
  <c r="Y66" i="14"/>
  <c r="Z66" i="14"/>
  <c r="T63" i="14"/>
  <c r="U63" i="14"/>
  <c r="V63" i="14"/>
  <c r="W63" i="14"/>
  <c r="X63" i="14"/>
  <c r="Y63" i="14"/>
  <c r="Z63" i="14"/>
  <c r="S63" i="14"/>
  <c r="B10" i="14"/>
  <c r="BH10" i="14" s="1"/>
  <c r="U10" i="14"/>
  <c r="B18" i="14"/>
  <c r="BF18" i="14" s="1"/>
  <c r="U18" i="14"/>
  <c r="B14" i="14"/>
  <c r="G83" i="14" s="1"/>
  <c r="G102" i="14" s="1"/>
  <c r="U14" i="14"/>
  <c r="B22" i="14"/>
  <c r="U22" i="14"/>
  <c r="AE26" i="14"/>
  <c r="AB22" i="14"/>
  <c r="AD14" i="14"/>
  <c r="AA10" i="14"/>
  <c r="U27" i="14"/>
  <c r="U28" i="14"/>
  <c r="U29" i="14"/>
  <c r="U24" i="14"/>
  <c r="U19" i="14"/>
  <c r="U20" i="14"/>
  <c r="U21" i="14"/>
  <c r="V10" i="14"/>
  <c r="AD26" i="14"/>
  <c r="AA22" i="14"/>
  <c r="AC14" i="14"/>
  <c r="V27" i="14"/>
  <c r="V28" i="14"/>
  <c r="V29" i="14"/>
  <c r="V23" i="14"/>
  <c r="V24" i="14"/>
  <c r="V25" i="14"/>
  <c r="W22" i="14"/>
  <c r="V19" i="14"/>
  <c r="V20" i="14"/>
  <c r="V21" i="14"/>
  <c r="W18" i="14"/>
  <c r="V15" i="14"/>
  <c r="V16" i="14"/>
  <c r="V17" i="14"/>
  <c r="W14" i="14"/>
  <c r="W10" i="14"/>
  <c r="X11" i="14"/>
  <c r="Y12" i="14"/>
  <c r="Z13" i="14"/>
  <c r="AC26" i="14"/>
  <c r="AE18" i="14"/>
  <c r="AB14" i="14"/>
  <c r="W27" i="14"/>
  <c r="W28" i="14"/>
  <c r="W29" i="14"/>
  <c r="X26" i="14"/>
  <c r="W24" i="14"/>
  <c r="W25" i="14"/>
  <c r="X22" i="14"/>
  <c r="W19" i="14"/>
  <c r="W20" i="14"/>
  <c r="W21" i="14"/>
  <c r="X18" i="14"/>
  <c r="W15" i="14"/>
  <c r="W16" i="14"/>
  <c r="W17" i="14"/>
  <c r="X14" i="14"/>
  <c r="X10" i="14"/>
  <c r="Z12" i="14"/>
  <c r="S11" i="14"/>
  <c r="T20" i="14"/>
  <c r="V11" i="14"/>
  <c r="U23" i="14"/>
  <c r="U15" i="14"/>
  <c r="X12" i="14"/>
  <c r="W23" i="14"/>
  <c r="Y11" i="14"/>
  <c r="W12" i="14"/>
  <c r="U25" i="14"/>
  <c r="V18" i="14"/>
  <c r="W11" i="14"/>
  <c r="AB26" i="14"/>
  <c r="AD18" i="14"/>
  <c r="AA14" i="14"/>
  <c r="X27" i="14"/>
  <c r="X28" i="14"/>
  <c r="X29" i="14"/>
  <c r="Y26" i="14"/>
  <c r="X23" i="14"/>
  <c r="X24" i="14"/>
  <c r="X25" i="14"/>
  <c r="Y22" i="14"/>
  <c r="X19" i="14"/>
  <c r="X20" i="14"/>
  <c r="X21" i="14"/>
  <c r="Y18" i="14"/>
  <c r="X15" i="14"/>
  <c r="X16" i="14"/>
  <c r="X17" i="14"/>
  <c r="Y14" i="14"/>
  <c r="Y10" i="14"/>
  <c r="Z11" i="14"/>
  <c r="T13" i="14"/>
  <c r="S12" i="14"/>
  <c r="S27" i="14"/>
  <c r="S24" i="14"/>
  <c r="S20" i="14"/>
  <c r="S15" i="14"/>
  <c r="S17" i="14"/>
  <c r="T10" i="14"/>
  <c r="V12" i="14"/>
  <c r="T27" i="14"/>
  <c r="T24" i="14"/>
  <c r="T21" i="14"/>
  <c r="T16" i="14"/>
  <c r="V22" i="14"/>
  <c r="V14" i="14"/>
  <c r="Y13" i="14"/>
  <c r="AA26" i="14"/>
  <c r="AC18" i="14"/>
  <c r="AE10" i="14"/>
  <c r="Y27" i="14"/>
  <c r="Y28" i="14"/>
  <c r="Y29" i="14"/>
  <c r="Z26" i="14"/>
  <c r="Y23" i="14"/>
  <c r="Y24" i="14"/>
  <c r="Y25" i="14"/>
  <c r="Z22" i="14"/>
  <c r="Y19" i="14"/>
  <c r="Y20" i="14"/>
  <c r="Y21" i="14"/>
  <c r="Z18" i="14"/>
  <c r="Y15" i="14"/>
  <c r="Y16" i="14"/>
  <c r="Y17" i="14"/>
  <c r="Z14" i="14"/>
  <c r="Z10" i="14"/>
  <c r="T12" i="14"/>
  <c r="U13" i="14"/>
  <c r="S13" i="14"/>
  <c r="S28" i="14"/>
  <c r="T22" i="14"/>
  <c r="S21" i="14"/>
  <c r="U17" i="14"/>
  <c r="AE22" i="14"/>
  <c r="AB18" i="14"/>
  <c r="AD10" i="14"/>
  <c r="Z27" i="14"/>
  <c r="Z28" i="14"/>
  <c r="Z29" i="14"/>
  <c r="Z23" i="14"/>
  <c r="Z24" i="14"/>
  <c r="Z25" i="14"/>
  <c r="S22" i="14"/>
  <c r="Z19" i="14"/>
  <c r="Z20" i="14"/>
  <c r="Z21" i="14"/>
  <c r="S18" i="14"/>
  <c r="Z15" i="14"/>
  <c r="Z16" i="14"/>
  <c r="Z17" i="14"/>
  <c r="S14" i="14"/>
  <c r="T11" i="14"/>
  <c r="U12" i="14"/>
  <c r="V13" i="14"/>
  <c r="S10" i="14"/>
  <c r="AA18" i="14"/>
  <c r="AC10" i="14"/>
  <c r="S29" i="14"/>
  <c r="S23" i="14"/>
  <c r="S25" i="14"/>
  <c r="S19" i="14"/>
  <c r="T18" i="14"/>
  <c r="S16" i="14"/>
  <c r="T14" i="14"/>
  <c r="U11" i="14"/>
  <c r="W13" i="14"/>
  <c r="AC22" i="14"/>
  <c r="AE14" i="14"/>
  <c r="AB10" i="14"/>
  <c r="T28" i="14"/>
  <c r="T29" i="14"/>
  <c r="U26" i="14"/>
  <c r="T23" i="14"/>
  <c r="T25" i="14"/>
  <c r="T19" i="14"/>
  <c r="T15" i="14"/>
  <c r="T17" i="14"/>
  <c r="X13" i="14"/>
  <c r="U16" i="14"/>
  <c r="AA6" i="14"/>
  <c r="AA56" i="14" s="1"/>
  <c r="AE6" i="14"/>
  <c r="AB6" i="14"/>
  <c r="AD6" i="14"/>
  <c r="AC6" i="14"/>
  <c r="V26" i="14"/>
  <c r="W26" i="14"/>
  <c r="T26" i="14"/>
  <c r="S26" i="14"/>
  <c r="BE6" i="14"/>
  <c r="BF6" i="14"/>
  <c r="BG6" i="14"/>
  <c r="BH6" i="14"/>
  <c r="BD6" i="14"/>
  <c r="BF14" i="14"/>
  <c r="BG14" i="14"/>
  <c r="BD14" i="14"/>
  <c r="BH14" i="14"/>
  <c r="BE14" i="14"/>
  <c r="B7" i="16"/>
  <c r="AH8" i="14" s="1"/>
  <c r="F7" i="16"/>
  <c r="AL8" i="14" s="1"/>
  <c r="W58" i="14" s="1"/>
  <c r="F56" i="14"/>
  <c r="AX14" i="14"/>
  <c r="AX18" i="14"/>
  <c r="AE56" i="14" l="1"/>
  <c r="BE10" i="14"/>
  <c r="BG10" i="14"/>
  <c r="BD18" i="14"/>
  <c r="G84" i="14"/>
  <c r="G103" i="14" s="1"/>
  <c r="BE18" i="14"/>
  <c r="BF10" i="14"/>
  <c r="BG22" i="14"/>
  <c r="AS39" i="14" s="1"/>
  <c r="G85" i="14"/>
  <c r="G104" i="14" s="1"/>
  <c r="R63" i="14"/>
  <c r="AC56" i="14"/>
  <c r="AD56" i="14"/>
  <c r="BD10" i="14"/>
  <c r="BG18" i="14"/>
  <c r="AB56" i="14"/>
  <c r="BH18" i="14"/>
  <c r="AX22" i="14"/>
  <c r="AJ39" i="14" s="1"/>
  <c r="BF22" i="14"/>
  <c r="AR39" i="14" s="1"/>
  <c r="BH22" i="14"/>
  <c r="AT39" i="14" s="1"/>
  <c r="BD22" i="14"/>
  <c r="AP39" i="14" s="1"/>
  <c r="BE22" i="14"/>
  <c r="AQ39" i="14" s="1"/>
  <c r="R26" i="14"/>
  <c r="X57" i="14"/>
  <c r="V59" i="14"/>
  <c r="T6" i="14"/>
  <c r="Z58" i="14"/>
  <c r="U8" i="14"/>
  <c r="U58" i="14"/>
  <c r="S9" i="14"/>
  <c r="S59" i="14"/>
  <c r="S58" i="14"/>
  <c r="U56" i="14"/>
  <c r="U6" i="14"/>
  <c r="Z59" i="14"/>
  <c r="S8" i="14"/>
  <c r="Y56" i="14"/>
  <c r="X8" i="14"/>
  <c r="Y8" i="14"/>
  <c r="W6" i="14"/>
  <c r="S57" i="14"/>
  <c r="Y6" i="14"/>
  <c r="W57" i="14"/>
  <c r="W9" i="14"/>
  <c r="X7" i="14"/>
  <c r="V9" i="14"/>
  <c r="Y58" i="14"/>
  <c r="T58" i="14"/>
  <c r="R14" i="14"/>
  <c r="X6" i="14"/>
  <c r="Z6" i="14"/>
  <c r="V58" i="14"/>
  <c r="Z56" i="14"/>
  <c r="Z8" i="14"/>
  <c r="U9" i="14"/>
  <c r="S7" i="14"/>
  <c r="Y9" i="14"/>
  <c r="Z7" i="14"/>
  <c r="X9" i="14"/>
  <c r="T9" i="14"/>
  <c r="W59" i="14"/>
  <c r="Y59" i="14"/>
  <c r="T59" i="14"/>
  <c r="V8" i="14"/>
  <c r="W8" i="14"/>
  <c r="Y7" i="14"/>
  <c r="T7" i="14"/>
  <c r="W56" i="14"/>
  <c r="V6" i="14"/>
  <c r="Z9" i="14"/>
  <c r="X56" i="14"/>
  <c r="T56" i="14"/>
  <c r="T8" i="14"/>
  <c r="U7" i="14"/>
  <c r="W7" i="14"/>
  <c r="R22" i="14"/>
  <c r="S6" i="14"/>
  <c r="R18" i="14"/>
  <c r="S56" i="14"/>
  <c r="V7" i="14"/>
  <c r="V57" i="14"/>
  <c r="AV11" i="14"/>
  <c r="AV12" i="14"/>
  <c r="AV13" i="14"/>
  <c r="AW10" i="14"/>
  <c r="BB12" i="14"/>
  <c r="BC12" i="14"/>
  <c r="AW11" i="14"/>
  <c r="AW12" i="14"/>
  <c r="AW13" i="14"/>
  <c r="AX11" i="14"/>
  <c r="AX12" i="14"/>
  <c r="AX13" i="14"/>
  <c r="AY10" i="14"/>
  <c r="BC10" i="14"/>
  <c r="AY11" i="14"/>
  <c r="AY12" i="14"/>
  <c r="AY13" i="14"/>
  <c r="AZ10" i="14"/>
  <c r="AZ11" i="14"/>
  <c r="AZ12" i="14"/>
  <c r="AZ13" i="14"/>
  <c r="BA10" i="14"/>
  <c r="BB11" i="14"/>
  <c r="BC11" i="14"/>
  <c r="BC13" i="14"/>
  <c r="BA11" i="14"/>
  <c r="BA12" i="14"/>
  <c r="BA13" i="14"/>
  <c r="BB10" i="14"/>
  <c r="BB13" i="14"/>
  <c r="AV10" i="14"/>
  <c r="AV7" i="14"/>
  <c r="AV8" i="14"/>
  <c r="AV9" i="14"/>
  <c r="AW6" i="14"/>
  <c r="BB8" i="14"/>
  <c r="BB9" i="14"/>
  <c r="AW7" i="14"/>
  <c r="AW8" i="14"/>
  <c r="AW9" i="14"/>
  <c r="AX7" i="14"/>
  <c r="AX8" i="14"/>
  <c r="AX9" i="14"/>
  <c r="AY6" i="14"/>
  <c r="BB7" i="14"/>
  <c r="BC6" i="14"/>
  <c r="AY7" i="14"/>
  <c r="AY8" i="14"/>
  <c r="AY9" i="14"/>
  <c r="AZ6" i="14"/>
  <c r="AZ7" i="14"/>
  <c r="AZ8" i="14"/>
  <c r="AZ9" i="14"/>
  <c r="BA6" i="14"/>
  <c r="BC7" i="14"/>
  <c r="BC9" i="14"/>
  <c r="BA7" i="14"/>
  <c r="BA8" i="14"/>
  <c r="BA9" i="14"/>
  <c r="BB6" i="14"/>
  <c r="BC8" i="14"/>
  <c r="AV6" i="14"/>
  <c r="AV19" i="14"/>
  <c r="AV20" i="14"/>
  <c r="AV21" i="14"/>
  <c r="AW18" i="14"/>
  <c r="BB19" i="14"/>
  <c r="BB21" i="14"/>
  <c r="AW19" i="14"/>
  <c r="AW20" i="14"/>
  <c r="AW21" i="14"/>
  <c r="AX19" i="14"/>
  <c r="AX20" i="14"/>
  <c r="AX21" i="14"/>
  <c r="AY18" i="14"/>
  <c r="BB20" i="14"/>
  <c r="BC18" i="14"/>
  <c r="AY19" i="14"/>
  <c r="AY20" i="14"/>
  <c r="AY21" i="14"/>
  <c r="AZ18" i="14"/>
  <c r="AZ19" i="14"/>
  <c r="AZ20" i="14"/>
  <c r="AZ21" i="14"/>
  <c r="BA18" i="14"/>
  <c r="BC19" i="14"/>
  <c r="AV18" i="14"/>
  <c r="BA19" i="14"/>
  <c r="BA20" i="14"/>
  <c r="BA21" i="14"/>
  <c r="BB18" i="14"/>
  <c r="BC20" i="14"/>
  <c r="BC21" i="14"/>
  <c r="AX10" i="14"/>
  <c r="AV15" i="14"/>
  <c r="AV16" i="14"/>
  <c r="AV17" i="14"/>
  <c r="AW14" i="14"/>
  <c r="BB16" i="14"/>
  <c r="BB17" i="14"/>
  <c r="AW15" i="14"/>
  <c r="AW16" i="14"/>
  <c r="AW17" i="14"/>
  <c r="AX15" i="14"/>
  <c r="AX16" i="14"/>
  <c r="AX17" i="14"/>
  <c r="AY14" i="14"/>
  <c r="BB15" i="14"/>
  <c r="BC14" i="14"/>
  <c r="BC17" i="14"/>
  <c r="AY15" i="14"/>
  <c r="AY16" i="14"/>
  <c r="AY17" i="14"/>
  <c r="AZ14" i="14"/>
  <c r="AZ15" i="14"/>
  <c r="AZ16" i="14"/>
  <c r="AZ17" i="14"/>
  <c r="BA14" i="14"/>
  <c r="BC16" i="14"/>
  <c r="BA15" i="14"/>
  <c r="BA16" i="14"/>
  <c r="BA17" i="14"/>
  <c r="BB14" i="14"/>
  <c r="BC15" i="14"/>
  <c r="AV14" i="14"/>
  <c r="AX6" i="14"/>
  <c r="AV23" i="14"/>
  <c r="AH40" i="14" s="1"/>
  <c r="AV24" i="14"/>
  <c r="AH41" i="14" s="1"/>
  <c r="AV25" i="14"/>
  <c r="AH42" i="14" s="1"/>
  <c r="AW22" i="14"/>
  <c r="AI39" i="14" s="1"/>
  <c r="BB24" i="14"/>
  <c r="AN41" i="14" s="1"/>
  <c r="BB25" i="14"/>
  <c r="AN42" i="14" s="1"/>
  <c r="AW23" i="14"/>
  <c r="AI40" i="14" s="1"/>
  <c r="AW24" i="14"/>
  <c r="AI41" i="14" s="1"/>
  <c r="AW25" i="14"/>
  <c r="AI42" i="14" s="1"/>
  <c r="BC23" i="14"/>
  <c r="AO40" i="14" s="1"/>
  <c r="AX23" i="14"/>
  <c r="AJ40" i="14" s="1"/>
  <c r="AX24" i="14"/>
  <c r="AJ41" i="14" s="1"/>
  <c r="AX25" i="14"/>
  <c r="AJ42" i="14" s="1"/>
  <c r="AY22" i="14"/>
  <c r="AK39" i="14" s="1"/>
  <c r="BB23" i="14"/>
  <c r="AN40" i="14" s="1"/>
  <c r="BC22" i="14"/>
  <c r="AO39" i="14" s="1"/>
  <c r="AY23" i="14"/>
  <c r="AK40" i="14" s="1"/>
  <c r="AY24" i="14"/>
  <c r="AK41" i="14" s="1"/>
  <c r="AY25" i="14"/>
  <c r="AK42" i="14" s="1"/>
  <c r="AZ22" i="14"/>
  <c r="AL39" i="14" s="1"/>
  <c r="BC24" i="14"/>
  <c r="AO41" i="14" s="1"/>
  <c r="AZ23" i="14"/>
  <c r="AL40" i="14" s="1"/>
  <c r="AZ24" i="14"/>
  <c r="AL41" i="14" s="1"/>
  <c r="AZ25" i="14"/>
  <c r="AL42" i="14" s="1"/>
  <c r="BA22" i="14"/>
  <c r="AM39" i="14" s="1"/>
  <c r="BC25" i="14"/>
  <c r="AO42" i="14" s="1"/>
  <c r="BA23" i="14"/>
  <c r="AM40" i="14" s="1"/>
  <c r="BA24" i="14"/>
  <c r="AM41" i="14" s="1"/>
  <c r="BA25" i="14"/>
  <c r="AM42" i="14" s="1"/>
  <c r="BB22" i="14"/>
  <c r="AN39" i="14" s="1"/>
  <c r="AV22" i="14"/>
  <c r="B56" i="14"/>
  <c r="D105" i="14" s="1"/>
  <c r="AG10" i="14" l="1" a="1"/>
  <c r="AG10" i="14" s="1"/>
  <c r="AG24" i="14" a="1"/>
  <c r="AG24" i="14" s="1"/>
  <c r="AG23" i="14" a="1"/>
  <c r="AG23" i="14" s="1"/>
  <c r="AG25" i="14" a="1"/>
  <c r="AG25" i="14" s="1"/>
  <c r="AG18" i="14" a="1"/>
  <c r="AG18" i="14" s="1"/>
  <c r="AG22" i="14" a="1"/>
  <c r="AG22" i="14" s="1"/>
  <c r="AH39" i="14"/>
  <c r="D106" i="14"/>
  <c r="R6" i="14"/>
  <c r="R10" i="14"/>
  <c r="R56" i="14"/>
  <c r="D99" i="14" l="1"/>
  <c r="D97" i="14"/>
  <c r="D98" i="14"/>
  <c r="D10" i="6" l="1"/>
  <c r="D9" i="6"/>
  <c r="E97" i="14" l="1"/>
  <c r="E99" i="14"/>
  <c r="E102" i="14"/>
  <c r="E106" i="14"/>
  <c r="E101" i="14"/>
  <c r="E103" i="14"/>
  <c r="E98" i="14"/>
  <c r="E100" i="14"/>
  <c r="E104" i="14"/>
  <c r="E105" i="14"/>
  <c r="C7" i="18"/>
  <c r="C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 Juan Carrillo Cesar</author>
    <author>Herrero Blanco Lorenzo Jose</author>
  </authors>
  <commentList>
    <comment ref="G9" authorId="0" shapeId="0" xr:uid="{88474D37-0D99-4321-AF72-E70460A00DAD}">
      <text>
        <r>
          <rPr>
            <sz val="11"/>
            <color theme="1"/>
            <rFont val="Aptos Narrow"/>
            <family val="2"/>
            <scheme val="minor"/>
          </rPr>
          <t>De Juan Carrillo Cesar:
29 casos de marzo25 a agosto 25</t>
        </r>
      </text>
    </comment>
    <comment ref="J9" authorId="0" shapeId="0" xr:uid="{A2C1F00E-C2F8-4098-A4EE-14E95711A73F}">
      <text>
        <r>
          <rPr>
            <sz val="11"/>
            <color theme="1"/>
            <rFont val="Aptos Narrow"/>
            <family val="2"/>
            <scheme val="minor"/>
          </rPr>
          <t xml:space="preserve">De Juan Carrillo Cesar:
322 casos de 2025 previos a septiembre 25
</t>
        </r>
      </text>
    </comment>
    <comment ref="C27" authorId="0" shapeId="0" xr:uid="{0AC1E466-FCF5-412E-B337-CC695E2FEE0E}">
      <text>
        <r>
          <rPr>
            <sz val="11"/>
            <color theme="1"/>
            <rFont val="Aptos Narrow"/>
            <family val="2"/>
            <scheme val="minor"/>
          </rPr>
          <t xml:space="preserve">De Juan Carrillo Cesar:
actualización OBE a final de mes. Revisar 27 de febrero.
</t>
        </r>
      </text>
    </comment>
    <comment ref="E82" authorId="1" shapeId="0" xr:uid="{67F8A43B-40C8-42CE-99D3-069388820EDC}">
      <text>
        <r>
          <rPr>
            <b/>
            <sz val="9"/>
            <color indexed="81"/>
            <rFont val="Tahoma"/>
            <family val="2"/>
          </rPr>
          <t>Se incorpora María Carmona</t>
        </r>
      </text>
    </comment>
    <comment ref="E83" authorId="1" shapeId="0" xr:uid="{DCEA4097-F852-4389-8F81-E39AE1FB1106}">
      <text>
        <r>
          <rPr>
            <b/>
            <sz val="9"/>
            <color indexed="81"/>
            <rFont val="Tahoma"/>
            <family val="2"/>
          </rPr>
          <t xml:space="preserve">Se incorpora Esther Posada
</t>
        </r>
      </text>
    </comment>
    <comment ref="H101" authorId="1" shapeId="0" xr:uid="{A43555FD-6675-487B-A240-103F6B5723B1}">
      <text>
        <r>
          <rPr>
            <b/>
            <sz val="9"/>
            <color indexed="81"/>
            <rFont val="Tahoma"/>
            <family val="2"/>
          </rPr>
          <t>Se incorpora María Carmona</t>
        </r>
      </text>
    </comment>
    <comment ref="H102" authorId="1" shapeId="0" xr:uid="{FF67B721-F070-4EDF-8D90-CA686F130883}">
      <text>
        <r>
          <rPr>
            <b/>
            <sz val="9"/>
            <color indexed="81"/>
            <rFont val="Tahoma"/>
            <family val="2"/>
          </rPr>
          <t xml:space="preserve">Se incorpora Esther Posada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<sst xmlns="http://schemas.openxmlformats.org/spreadsheetml/2006/main" count="1272" uniqueCount="212">
  <si>
    <t>PRIVACY</t>
  </si>
  <si>
    <t>Derecho de Limitación</t>
  </si>
  <si>
    <t xml:space="preserve">Observaciones </t>
  </si>
  <si>
    <t>Diciembre</t>
  </si>
  <si>
    <t>Pendientes de meses anteriores</t>
  </si>
  <si>
    <t>Recibidos en el mes</t>
  </si>
  <si>
    <t>Contestados - en plazo</t>
  </si>
  <si>
    <t>Contestados - fuera de plazo</t>
  </si>
  <si>
    <t>Pdte contestar en plazo</t>
  </si>
  <si>
    <t>Fuera de plazo</t>
  </si>
  <si>
    <t>Total recibidos</t>
  </si>
  <si>
    <t>Total contestados/no contestados</t>
  </si>
  <si>
    <t>Minutos al día</t>
  </si>
  <si>
    <t>Días al mes</t>
  </si>
  <si>
    <t>FTE's Necesarios</t>
  </si>
  <si>
    <t>MPU (min)</t>
  </si>
  <si>
    <t>% distribución</t>
  </si>
  <si>
    <t>TOTAL</t>
  </si>
  <si>
    <t>Derecho de acceso</t>
  </si>
  <si>
    <t>Derecho de rectificación</t>
  </si>
  <si>
    <t>Derecho de rectificación - Cartas físicas</t>
  </si>
  <si>
    <t>Derecho de Borrado</t>
  </si>
  <si>
    <t xml:space="preserve">Derecho de oposición </t>
  </si>
  <si>
    <t>Derecho revisión manual - incremento límite</t>
  </si>
  <si>
    <t xml:space="preserve">Motivo de denegación </t>
  </si>
  <si>
    <t>Revisión manual</t>
  </si>
  <si>
    <t>ESCALADO</t>
  </si>
  <si>
    <t>KPI</t>
  </si>
  <si>
    <t>FRAUDE</t>
  </si>
  <si>
    <t>CALIDAD</t>
  </si>
  <si>
    <t>SCHUFA</t>
  </si>
  <si>
    <t>TOTAL FTE's</t>
  </si>
  <si>
    <t>Derecho de cancelación</t>
  </si>
  <si>
    <t>MPU MEDIO</t>
  </si>
  <si>
    <t xml:space="preserve">Razón de denegación </t>
  </si>
  <si>
    <t>BNPL</t>
  </si>
  <si>
    <t>N/A</t>
  </si>
  <si>
    <t>Amz GIL</t>
  </si>
  <si>
    <t>CB</t>
  </si>
  <si>
    <t>Branch</t>
  </si>
  <si>
    <t>PROMEDIO</t>
  </si>
  <si>
    <t>Próximo Mes</t>
  </si>
  <si>
    <t>BORRADOR</t>
  </si>
  <si>
    <t>ESTIMADO</t>
  </si>
  <si>
    <t>REAL</t>
  </si>
  <si>
    <t>VolEst</t>
  </si>
  <si>
    <t>FTEs BAU</t>
  </si>
  <si>
    <t>FTEs gestión</t>
  </si>
  <si>
    <t>VolReal</t>
  </si>
  <si>
    <t>CC</t>
  </si>
  <si>
    <t>NO SON REALES</t>
  </si>
  <si>
    <t>SIGUEN SIN SER REALES</t>
  </si>
  <si>
    <t>REALES</t>
  </si>
  <si>
    <t>PICO DEL BACKLOG</t>
  </si>
  <si>
    <t>SALIDA de 0,5 de Fátima y 1 de Youssra, de 0,25 de Sonia y 0,25 de Bradde</t>
  </si>
  <si>
    <t>SALIDA de Riad</t>
  </si>
  <si>
    <t>31.07.2026: Salida Amazon GIL Irlanda Y Polonia</t>
  </si>
  <si>
    <t>RESUMEN DE MPU'S POR DERECHO GDPR (minutos)</t>
  </si>
  <si>
    <t>TAREAS ADICIONALES GDPR (min)</t>
  </si>
  <si>
    <t>Derecho de borrado</t>
  </si>
  <si>
    <t>Nombre derecho</t>
  </si>
  <si>
    <t>Producto</t>
  </si>
  <si>
    <t>Servicio</t>
  </si>
  <si>
    <t>Tarea 1</t>
  </si>
  <si>
    <t>Tarea 2</t>
  </si>
  <si>
    <t>Tarea 3</t>
  </si>
  <si>
    <t>Tarea 4</t>
  </si>
  <si>
    <t>Tarea 5</t>
  </si>
  <si>
    <t>Tarea 6</t>
  </si>
  <si>
    <t>Tarea 7</t>
  </si>
  <si>
    <t>Tarea 8</t>
  </si>
  <si>
    <t>Tarea 9</t>
  </si>
  <si>
    <t>Tarea 10</t>
  </si>
  <si>
    <t>Tarea 11</t>
  </si>
  <si>
    <t>Tarea 12</t>
  </si>
  <si>
    <t>Tarea 13</t>
  </si>
  <si>
    <t>Tarea 14</t>
  </si>
  <si>
    <t>Tarea 15</t>
  </si>
  <si>
    <t>Tarea 16</t>
  </si>
  <si>
    <t>MPU</t>
  </si>
  <si>
    <t>Derecho de supresión</t>
  </si>
  <si>
    <t>Escalados por Cumplimiento</t>
  </si>
  <si>
    <t>CROSS</t>
  </si>
  <si>
    <t>Creación de KPIs (necesario por Cumplimiento)</t>
  </si>
  <si>
    <t xml:space="preserve">Gestión casos de Fraude </t>
  </si>
  <si>
    <t>Control de Calidad</t>
  </si>
  <si>
    <t>Buzón Schufa</t>
  </si>
  <si>
    <t>HASTA 10/02/2026</t>
  </si>
  <si>
    <t>Descripción del servicio</t>
  </si>
  <si>
    <t>Entrada diaria de casos en buzón GDPR</t>
  </si>
  <si>
    <t>Lectura y análisis del caso</t>
  </si>
  <si>
    <t>Completar el Excel de seguimiento</t>
  </si>
  <si>
    <t>Generación respuestas salientes</t>
  </si>
  <si>
    <t>Envío de la comunicación al cliente vía Picaso</t>
  </si>
  <si>
    <t>Popular Excel con los resultados (cerrar el caso)</t>
  </si>
  <si>
    <t>(Si aplica) Preparación de enlace de Tranxfer y documentación</t>
  </si>
  <si>
    <t>(Si aplica) Traducción de documentación / comunicación</t>
  </si>
  <si>
    <t>Ejecución del Derecho - Acceso BNPL</t>
  </si>
  <si>
    <t>Buscar al cliente en Ops Portal</t>
  </si>
  <si>
    <t>Búsqueda de datos en Quick Sight</t>
  </si>
  <si>
    <t>Búsqueda de datos en Athena</t>
  </si>
  <si>
    <t>Popular plantilla y exportar a PDF</t>
  </si>
  <si>
    <t>Buscar cliente en otros programas</t>
  </si>
  <si>
    <t>Ejecución del Derecho - Acceso AMZ GIL / Cobranded / Branch</t>
  </si>
  <si>
    <t>Derecho de Rectificación BNPL / AMZ GIL</t>
  </si>
  <si>
    <t>Llamada cliente</t>
  </si>
  <si>
    <t>Cambios Postman</t>
  </si>
  <si>
    <t>Revisión documentación cliente en OPs Portal</t>
  </si>
  <si>
    <t>Derecho de Rectificación Cartas Físicas BNPL / Supresión BNPL - AMZ GIL</t>
  </si>
  <si>
    <t>Buscar cliente en Ops Portal</t>
  </si>
  <si>
    <t>Derecho de supresión COB / Branch</t>
  </si>
  <si>
    <t>Abrir DAL</t>
  </si>
  <si>
    <t>Revisión estado DALs anteriores</t>
  </si>
  <si>
    <t>Actualización Excel en caso de deuda pendiente</t>
  </si>
  <si>
    <t>Derecho de Oposición BNPL / Amazon GIL</t>
  </si>
  <si>
    <t>Ejecutar oposición en Potsman</t>
  </si>
  <si>
    <t>Comprobación de oposición ejectuada en Athena</t>
  </si>
  <si>
    <t>Derecho de Oposición Cobranded / Branch</t>
  </si>
  <si>
    <t>Buscar cliente en CORE</t>
  </si>
  <si>
    <t>Ejecutar oposición en CORE</t>
  </si>
  <si>
    <t xml:space="preserve">Derecho de Revisión Manual </t>
  </si>
  <si>
    <t>Buscar cliente en Ops Portal / CORE</t>
  </si>
  <si>
    <t>Revisión de documentación de clientes - actualización de Excel</t>
  </si>
  <si>
    <t>Recepción documentación - subida de documentación a Sharepoint</t>
  </si>
  <si>
    <t>Whitelist - revisión de nuevas solicitudes del cliente</t>
  </si>
  <si>
    <t>Búsqueda del cliente en OPS / Core</t>
  </si>
  <si>
    <t>Queries en Athena</t>
  </si>
  <si>
    <t>Búsqueda en QS</t>
  </si>
  <si>
    <t>Escalados / Solicitud de plantillas a Cumplimiento</t>
  </si>
  <si>
    <t>Resumen Interacciones</t>
  </si>
  <si>
    <t>Documento Comunicaciones</t>
  </si>
  <si>
    <t>Traducciones</t>
  </si>
  <si>
    <t>Seguimiento con Cumplimiento - solicitud de más información</t>
  </si>
  <si>
    <t>Extracción de casos de los ficheros Excel</t>
  </si>
  <si>
    <t>Extracción de datos automatizados en DAL</t>
  </si>
  <si>
    <t>Solicitud documentación cliente</t>
  </si>
  <si>
    <t>Descarga y subida de documentación a SharePoint</t>
  </si>
  <si>
    <t>Búsqueda de orden afectada por el fraude</t>
  </si>
  <si>
    <t>Selección de casos finalizados desde Excel</t>
  </si>
  <si>
    <t>Búsqueda y lectura de toda la comunicación</t>
  </si>
  <si>
    <t>Redacción de conclusiones y compartir feedback</t>
  </si>
  <si>
    <t>Lectura de la petición</t>
  </si>
  <si>
    <t>Búsqueda del cliente en Zinia</t>
  </si>
  <si>
    <t>Respuesta cliente</t>
  </si>
  <si>
    <t>Borrado de Schufa</t>
  </si>
  <si>
    <t>FRAUDA&amp;GDPR</t>
  </si>
  <si>
    <t>Tarea 17</t>
  </si>
  <si>
    <t>Tarea 18</t>
  </si>
  <si>
    <t>Tarea 19</t>
  </si>
  <si>
    <t>Tarea 20</t>
  </si>
  <si>
    <t>Tarea 21</t>
  </si>
  <si>
    <t>Tarea 22</t>
  </si>
  <si>
    <t>Tarea 23</t>
  </si>
  <si>
    <t>Nueva fórmula</t>
  </si>
  <si>
    <t>BNPL (Email/Teléfono)</t>
  </si>
  <si>
    <t>BNPL (IBAN)</t>
  </si>
  <si>
    <t>BNPL (Dirección, Nombre, Fecha de Nacimiento)</t>
  </si>
  <si>
    <t>Amz GIL (Email / Teléfono)</t>
  </si>
  <si>
    <t>Amz GIL (Dirección, Nombre, Fecha de Nacimiento)</t>
  </si>
  <si>
    <t>DESDE 10/02/2026</t>
  </si>
  <si>
    <t>Envío de la comunicación al cliente vía Picaso / Llamada al cliente para responder en casos en los que el cliente no tiene correo electrónico</t>
  </si>
  <si>
    <t> </t>
  </si>
  <si>
    <t xml:space="preserve">Ejecución del Derecho - Acceso AMZ GIL </t>
  </si>
  <si>
    <t>Actualización BBDD Compartida con OBES</t>
  </si>
  <si>
    <t>Ejecución del Derecho - Acceso COB/Branch</t>
  </si>
  <si>
    <t>Extracción datos de Core / QuickSight</t>
  </si>
  <si>
    <t>Si aplica - Solicitar fichero y extraer información clientes cancelados</t>
  </si>
  <si>
    <t>Extracción datos de Athena</t>
  </si>
  <si>
    <t>Derecho de Rectificación BNPL / AMZ GIL (Email / Teléfono)</t>
  </si>
  <si>
    <t>Correo cliente consentimiento</t>
  </si>
  <si>
    <t>Derecho de Rectificación Cartas Físicas BNPL (IBAN)</t>
  </si>
  <si>
    <t>Identificar al cliente con la información dada en la carta</t>
  </si>
  <si>
    <t>Cambio en OPs Portal</t>
  </si>
  <si>
    <t>Cumplimentar Excel registro</t>
  </si>
  <si>
    <t>Derecho de Rectificación - BNPL - IBAN</t>
  </si>
  <si>
    <t>Recepción y descarga documentación</t>
  </si>
  <si>
    <t>Modificación IBAN en OPs Portal</t>
  </si>
  <si>
    <t>Derecho de Rectificación BNPL / AMZ GIL (Dirección / Nombre / Fecha de Nacimiento)</t>
  </si>
  <si>
    <t>Recepción descarga de documentación</t>
  </si>
  <si>
    <t>Cambio Postman</t>
  </si>
  <si>
    <t>(Solo GIL) Actualización BBDD Compartida con OBES</t>
  </si>
  <si>
    <t>(Si aplica) Abrir DAL</t>
  </si>
  <si>
    <t>Revisión estado DALs anteriores para diferenciar si se ha podido ejecutar el borrado o si hay deuda activa</t>
  </si>
  <si>
    <t>Cumplimentar Excel con el resultado</t>
  </si>
  <si>
    <t>Derecho de supresión BNPL / AMZ GIL</t>
  </si>
  <si>
    <t>Buscar cliente en Ops</t>
  </si>
  <si>
    <t>Ejecutar cambio en Postman</t>
  </si>
  <si>
    <t>Comprobación borrado en los sistemas</t>
  </si>
  <si>
    <t>(GIL) Actualización BBDD Compartida con OBES</t>
  </si>
  <si>
    <t>Revisar denegación y solicitud de documentación cliente (Sistemas)</t>
  </si>
  <si>
    <t>Motivo de denegación - BNPL</t>
  </si>
  <si>
    <t xml:space="preserve">Búsqueda del cliente en OPS </t>
  </si>
  <si>
    <t>Cumplimentar excel</t>
  </si>
  <si>
    <t>Motivo de denegación - COB / Branch</t>
  </si>
  <si>
    <t>Búsqueda del cliente en Appian</t>
  </si>
  <si>
    <t xml:space="preserve">cumplimentar excel </t>
  </si>
  <si>
    <t>Motivo de denegación - AMZ GIL</t>
  </si>
  <si>
    <t>Búsqueda cliente en Ops</t>
  </si>
  <si>
    <t>Búsqueda motivos en QuickSight</t>
  </si>
  <si>
    <t>Si aplica, búsqueda motivos en Appian (inactividad, KYC, Proof of Income)</t>
  </si>
  <si>
    <t>Traducción de las comunicaciones del cliente para Cumplimiento. Traducción de la respuesta de Cumplimiento al alemán para su envío</t>
  </si>
  <si>
    <t>Suplantación Identidad (combinado con GDPR)</t>
  </si>
  <si>
    <t xml:space="preserve">Identificar la orden / cliente en Ops Portal </t>
  </si>
  <si>
    <t>Solicitud de documentación del cliente</t>
  </si>
  <si>
    <t>Recepción / Descarga de documentación</t>
  </si>
  <si>
    <t>Solicitud información fraude (confirmación de fraude, estado de deuda/putback)</t>
  </si>
  <si>
    <t>Solicitud comunicación Cumplimiento</t>
  </si>
  <si>
    <t>Si aplica - traducción comunicación Cumplimiento en los casos que no hay plantilla</t>
  </si>
  <si>
    <t xml:space="preserve">Gestión casos de suplantación de identidad </t>
  </si>
  <si>
    <t>Búsqueda de orden afectada por la suplantación de identidad</t>
  </si>
  <si>
    <t>Búsqueda del cliente en Sistemas</t>
  </si>
  <si>
    <t xml:space="preserve">(si Fraude)Gestión casos de borrados de Schufa derivados de suplantación de identidad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</si>
</sst>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3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A2F41"/>
      <name val="Santander Text"/>
      <family val="2"/>
    </font>
    <font>
      <sz val="11"/>
      <color rgb="FF0A2F41"/>
      <name val="Santander Text"/>
      <family val="2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b/>
      <sz val="22"/>
      <color theme="1"/>
      <name val="Ink Free"/>
      <family val="4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A2F41"/>
      <name val="Santander Text"/>
    </font>
    <font>
      <b/>
      <sz val="11"/>
      <color rgb="FF0A2F41"/>
      <name val="Santander Text"/>
    </font>
    <font>
      <b/>
      <sz val="16"/>
      <color rgb="FF002060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4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5" borderId="1" xfId="0" applyFont="1" applyFill="1" applyBorder="1"/>
    <xf numFmtId="0" fontId="0" fillId="0" borderId="8" xfId="0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 indent="1"/>
    </xf>
    <xf numFmtId="165" fontId="0" fillId="0" borderId="0" xfId="1" applyNumberFormat="1" applyFont="1"/>
    <xf numFmtId="0" fontId="0" fillId="0" borderId="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0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10" fontId="0" fillId="0" borderId="18" xfId="2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8" borderId="12" xfId="0" applyNumberFormat="1" applyFill="1" applyBorder="1" applyAlignment="1">
      <alignment horizontal="center"/>
    </xf>
    <xf numFmtId="2" fontId="0" fillId="8" borderId="15" xfId="0" applyNumberFormat="1" applyFill="1" applyBorder="1" applyAlignment="1">
      <alignment horizontal="center"/>
    </xf>
    <xf numFmtId="2" fontId="0" fillId="8" borderId="13" xfId="0" applyNumberFormat="1" applyFill="1" applyBorder="1" applyAlignment="1">
      <alignment horizontal="center"/>
    </xf>
    <xf numFmtId="2" fontId="0" fillId="8" borderId="14" xfId="0" applyNumberFormat="1" applyFill="1" applyBorder="1" applyAlignment="1">
      <alignment horizontal="center"/>
    </xf>
    <xf numFmtId="2" fontId="0" fillId="8" borderId="18" xfId="0" applyNumberForma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1" fillId="0" borderId="28" xfId="0" applyFont="1" applyBorder="1"/>
    <xf numFmtId="0" fontId="0" fillId="0" borderId="34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2" fontId="0" fillId="8" borderId="0" xfId="0" applyNumberFormat="1" applyFill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13" borderId="2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/>
    </xf>
    <xf numFmtId="0" fontId="0" fillId="12" borderId="12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/>
    </xf>
    <xf numFmtId="0" fontId="0" fillId="12" borderId="13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22" xfId="0" applyFill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2" fontId="0" fillId="12" borderId="12" xfId="0" applyNumberFormat="1" applyFill="1" applyBorder="1" applyAlignment="1">
      <alignment horizontal="center"/>
    </xf>
    <xf numFmtId="2" fontId="0" fillId="12" borderId="15" xfId="0" applyNumberFormat="1" applyFill="1" applyBorder="1" applyAlignment="1">
      <alignment horizontal="center"/>
    </xf>
    <xf numFmtId="2" fontId="0" fillId="12" borderId="13" xfId="0" applyNumberFormat="1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2" fillId="0" borderId="29" xfId="0" applyFont="1" applyBorder="1" applyAlignment="1">
      <alignment horizontal="left" vertical="center" indent="1"/>
    </xf>
    <xf numFmtId="0" fontId="12" fillId="0" borderId="29" xfId="0" applyFont="1" applyBorder="1" applyAlignment="1">
      <alignment horizontal="left" vertical="center" wrapText="1" indent="1"/>
    </xf>
    <xf numFmtId="0" fontId="12" fillId="0" borderId="30" xfId="0" applyFont="1" applyBorder="1" applyAlignment="1">
      <alignment horizontal="left" vertical="center" wrapText="1" indent="1"/>
    </xf>
    <xf numFmtId="14" fontId="0" fillId="0" borderId="0" xfId="0" applyNumberFormat="1"/>
    <xf numFmtId="17" fontId="8" fillId="0" borderId="12" xfId="0" applyNumberFormat="1" applyFont="1" applyBorder="1" applyAlignment="1">
      <alignment vertical="center"/>
    </xf>
    <xf numFmtId="17" fontId="8" fillId="0" borderId="13" xfId="0" applyNumberFormat="1" applyFont="1" applyBorder="1" applyAlignment="1">
      <alignment vertical="center"/>
    </xf>
    <xf numFmtId="17" fontId="8" fillId="0" borderId="14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1" fillId="14" borderId="2" xfId="0" applyFont="1" applyFill="1" applyBorder="1"/>
    <xf numFmtId="0" fontId="8" fillId="14" borderId="2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left" vertical="center" indent="1"/>
    </xf>
    <xf numFmtId="0" fontId="0" fillId="14" borderId="7" xfId="0" applyFill="1" applyBorder="1" applyAlignment="1">
      <alignment horizontal="center"/>
    </xf>
    <xf numFmtId="0" fontId="12" fillId="14" borderId="3" xfId="0" applyFont="1" applyFill="1" applyBorder="1" applyAlignment="1">
      <alignment horizontal="left" vertical="center" indent="1"/>
    </xf>
    <xf numFmtId="0" fontId="0" fillId="14" borderId="3" xfId="0" applyFill="1" applyBorder="1" applyAlignment="1">
      <alignment horizontal="center"/>
    </xf>
    <xf numFmtId="0" fontId="11" fillId="14" borderId="2" xfId="0" applyFont="1" applyFill="1" applyBorder="1" applyAlignment="1">
      <alignment wrapText="1"/>
    </xf>
    <xf numFmtId="0" fontId="0" fillId="14" borderId="0" xfId="0" applyFill="1"/>
    <xf numFmtId="0" fontId="12" fillId="14" borderId="7" xfId="0" applyFont="1" applyFill="1" applyBorder="1" applyAlignment="1">
      <alignment horizontal="left" vertical="center" wrapText="1" indent="1"/>
    </xf>
    <xf numFmtId="0" fontId="0" fillId="14" borderId="23" xfId="0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18" fillId="0" borderId="0" xfId="0" applyFont="1"/>
    <xf numFmtId="0" fontId="0" fillId="0" borderId="34" xfId="0" applyBorder="1"/>
    <xf numFmtId="2" fontId="0" fillId="0" borderId="0" xfId="0" applyNumberFormat="1"/>
    <xf numFmtId="0" fontId="0" fillId="8" borderId="0" xfId="0" applyFill="1"/>
    <xf numFmtId="0" fontId="8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1" fillId="15" borderId="6" xfId="0" applyFont="1" applyFill="1" applyBorder="1"/>
    <xf numFmtId="0" fontId="12" fillId="15" borderId="34" xfId="0" applyFont="1" applyFill="1" applyBorder="1"/>
    <xf numFmtId="0" fontId="12" fillId="15" borderId="34" xfId="0" applyFont="1" applyFill="1" applyBorder="1" applyAlignment="1">
      <alignment wrapText="1"/>
    </xf>
    <xf numFmtId="0" fontId="25" fillId="15" borderId="44" xfId="0" applyFont="1" applyFill="1" applyBorder="1" applyAlignment="1">
      <alignment wrapText="1"/>
    </xf>
    <xf numFmtId="0" fontId="11" fillId="15" borderId="34" xfId="0" applyFont="1" applyFill="1" applyBorder="1"/>
    <xf numFmtId="0" fontId="12" fillId="15" borderId="44" xfId="0" applyFont="1" applyFill="1" applyBorder="1" applyAlignment="1">
      <alignment wrapText="1"/>
    </xf>
    <xf numFmtId="0" fontId="12" fillId="15" borderId="44" xfId="0" applyFont="1" applyFill="1" applyBorder="1"/>
    <xf numFmtId="0" fontId="26" fillId="15" borderId="34" xfId="0" applyFont="1" applyFill="1" applyBorder="1" applyAlignment="1">
      <alignment wrapText="1"/>
    </xf>
    <xf numFmtId="0" fontId="25" fillId="15" borderId="34" xfId="0" applyFont="1" applyFill="1" applyBorder="1"/>
    <xf numFmtId="0" fontId="11" fillId="15" borderId="6" xfId="0" applyFont="1" applyFill="1" applyBorder="1" applyAlignment="1">
      <alignment wrapText="1"/>
    </xf>
    <xf numFmtId="0" fontId="25" fillId="15" borderId="34" xfId="0" applyFont="1" applyFill="1" applyBorder="1" applyAlignment="1">
      <alignment wrapText="1"/>
    </xf>
    <xf numFmtId="0" fontId="26" fillId="15" borderId="6" xfId="0" applyFont="1" applyFill="1" applyBorder="1" applyAlignment="1">
      <alignment wrapText="1"/>
    </xf>
    <xf numFmtId="0" fontId="11" fillId="15" borderId="34" xfId="0" applyFont="1" applyFill="1" applyBorder="1" applyAlignment="1">
      <alignment wrapText="1"/>
    </xf>
    <xf numFmtId="0" fontId="23" fillId="15" borderId="0" xfId="0" applyFont="1" applyFill="1"/>
    <xf numFmtId="0" fontId="26" fillId="15" borderId="2" xfId="0" applyFont="1" applyFill="1" applyBorder="1"/>
    <xf numFmtId="0" fontId="25" fillId="15" borderId="7" xfId="0" applyFont="1" applyFill="1" applyBorder="1"/>
    <xf numFmtId="0" fontId="25" fillId="15" borderId="7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right" vertical="center"/>
    </xf>
    <xf numFmtId="0" fontId="24" fillId="15" borderId="7" xfId="0" applyFont="1" applyFill="1" applyBorder="1" applyAlignment="1">
      <alignment vertical="center"/>
    </xf>
    <xf numFmtId="0" fontId="12" fillId="7" borderId="8" xfId="0" applyFont="1" applyFill="1" applyBorder="1"/>
    <xf numFmtId="0" fontId="12" fillId="7" borderId="8" xfId="0" applyFont="1" applyFill="1" applyBorder="1" applyAlignment="1">
      <alignment wrapText="1"/>
    </xf>
    <xf numFmtId="0" fontId="25" fillId="7" borderId="8" xfId="0" applyFont="1" applyFill="1" applyBorder="1" applyAlignment="1">
      <alignment wrapText="1"/>
    </xf>
    <xf numFmtId="0" fontId="12" fillId="7" borderId="27" xfId="0" applyFont="1" applyFill="1" applyBorder="1" applyAlignment="1">
      <alignment wrapText="1"/>
    </xf>
    <xf numFmtId="0" fontId="11" fillId="7" borderId="29" xfId="0" applyFont="1" applyFill="1" applyBorder="1" applyAlignment="1">
      <alignment wrapText="1"/>
    </xf>
    <xf numFmtId="0" fontId="12" fillId="7" borderId="29" xfId="0" applyFont="1" applyFill="1" applyBorder="1" applyAlignment="1">
      <alignment wrapText="1"/>
    </xf>
    <xf numFmtId="0" fontId="25" fillId="7" borderId="29" xfId="0" applyFont="1" applyFill="1" applyBorder="1" applyAlignment="1">
      <alignment wrapText="1"/>
    </xf>
    <xf numFmtId="0" fontId="11" fillId="7" borderId="28" xfId="0" applyFont="1" applyFill="1" applyBorder="1"/>
    <xf numFmtId="0" fontId="12" fillId="7" borderId="29" xfId="0" applyFont="1" applyFill="1" applyBorder="1"/>
    <xf numFmtId="0" fontId="11" fillId="7" borderId="28" xfId="0" applyFont="1" applyFill="1" applyBorder="1" applyAlignment="1">
      <alignment wrapText="1"/>
    </xf>
    <xf numFmtId="0" fontId="11" fillId="7" borderId="25" xfId="0" applyFont="1" applyFill="1" applyBorder="1"/>
    <xf numFmtId="0" fontId="11" fillId="7" borderId="47" xfId="0" applyFont="1" applyFill="1" applyBorder="1"/>
    <xf numFmtId="0" fontId="12" fillId="7" borderId="48" xfId="0" applyFont="1" applyFill="1" applyBorder="1"/>
    <xf numFmtId="0" fontId="24" fillId="15" borderId="6" xfId="0" applyFont="1" applyFill="1" applyBorder="1" applyAlignment="1">
      <alignment horizontal="center" vertical="center"/>
    </xf>
    <xf numFmtId="0" fontId="23" fillId="15" borderId="34" xfId="0" applyFont="1" applyFill="1" applyBorder="1" applyAlignment="1">
      <alignment horizontal="center" vertical="center"/>
    </xf>
    <xf numFmtId="0" fontId="23" fillId="15" borderId="44" xfId="0" applyFont="1" applyFill="1" applyBorder="1" applyAlignment="1">
      <alignment horizontal="center" vertical="center"/>
    </xf>
    <xf numFmtId="0" fontId="24" fillId="15" borderId="34" xfId="0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0" fontId="23" fillId="15" borderId="45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23" fillId="7" borderId="27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4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7" fillId="13" borderId="0" xfId="0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1" fillId="14" borderId="31" xfId="0" applyFont="1" applyFill="1" applyBorder="1"/>
    <xf numFmtId="0" fontId="12" fillId="14" borderId="33" xfId="0" applyFont="1" applyFill="1" applyBorder="1" applyAlignment="1">
      <alignment horizontal="left" vertical="center" indent="1"/>
    </xf>
    <xf numFmtId="0" fontId="12" fillId="14" borderId="33" xfId="0" applyFont="1" applyFill="1" applyBorder="1" applyAlignment="1">
      <alignment horizontal="left" vertical="center" wrapText="1" indent="1"/>
    </xf>
    <xf numFmtId="0" fontId="12" fillId="14" borderId="35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center"/>
    </xf>
    <xf numFmtId="0" fontId="12" fillId="0" borderId="0" xfId="0" applyFont="1" applyAlignment="1">
      <alignment horizontal="left" vertical="center" wrapText="1" indent="1"/>
    </xf>
    <xf numFmtId="0" fontId="12" fillId="0" borderId="53" xfId="0" applyFont="1" applyBorder="1" applyAlignment="1">
      <alignment horizontal="left" vertical="center" indent="1"/>
    </xf>
    <xf numFmtId="0" fontId="0" fillId="0" borderId="30" xfId="0" applyBorder="1" applyAlignment="1">
      <alignment horizontal="center"/>
    </xf>
    <xf numFmtId="0" fontId="25" fillId="15" borderId="34" xfId="0" applyFont="1" applyFill="1" applyBorder="1" applyAlignment="1">
      <alignment horizontal="left" vertical="center" wrapText="1"/>
    </xf>
    <xf numFmtId="0" fontId="25" fillId="15" borderId="7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26" fillId="7" borderId="8" xfId="0" applyFont="1" applyFill="1" applyBorder="1"/>
    <xf numFmtId="0" fontId="26" fillId="15" borderId="40" xfId="0" applyFont="1" applyFill="1" applyBorder="1" applyAlignment="1">
      <alignment wrapText="1"/>
    </xf>
    <xf numFmtId="0" fontId="25" fillId="15" borderId="0" xfId="0" applyFont="1" applyFill="1" applyAlignment="1">
      <alignment wrapText="1"/>
    </xf>
    <xf numFmtId="0" fontId="25" fillId="15" borderId="54" xfId="0" applyFont="1" applyFill="1" applyBorder="1" applyAlignment="1">
      <alignment wrapText="1"/>
    </xf>
    <xf numFmtId="0" fontId="24" fillId="15" borderId="2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8" fillId="0" borderId="4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165" fontId="0" fillId="8" borderId="9" xfId="1" applyNumberFormat="1" applyFont="1" applyFill="1" applyBorder="1" applyAlignment="1">
      <alignment horizontal="center" vertical="center"/>
    </xf>
    <xf numFmtId="165" fontId="0" fillId="8" borderId="10" xfId="1" applyNumberFormat="1" applyFont="1" applyFill="1" applyBorder="1" applyAlignment="1">
      <alignment horizontal="center" vertical="center"/>
    </xf>
    <xf numFmtId="165" fontId="0" fillId="8" borderId="1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/>
    </xf>
    <xf numFmtId="17" fontId="8" fillId="0" borderId="13" xfId="0" applyNumberFormat="1" applyFont="1" applyBorder="1" applyAlignment="1">
      <alignment horizontal="center" vertical="center"/>
    </xf>
    <xf numFmtId="17" fontId="8" fillId="0" borderId="14" xfId="0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vertical="center"/>
    </xf>
    <xf numFmtId="165" fontId="0" fillId="0" borderId="10" xfId="1" applyNumberFormat="1" applyFont="1" applyBorder="1" applyAlignment="1">
      <alignment vertical="center"/>
    </xf>
    <xf numFmtId="165" fontId="0" fillId="0" borderId="11" xfId="1" applyNumberFormat="1" applyFont="1" applyBorder="1" applyAlignment="1">
      <alignment vertical="center"/>
    </xf>
    <xf numFmtId="165" fontId="0" fillId="0" borderId="9" xfId="1" applyNumberFormat="1" applyFont="1" applyFill="1" applyBorder="1" applyAlignment="1">
      <alignment horizontal="center" vertical="center"/>
    </xf>
    <xf numFmtId="165" fontId="0" fillId="0" borderId="10" xfId="1" applyNumberFormat="1" applyFont="1" applyFill="1" applyBorder="1" applyAlignment="1">
      <alignment horizontal="center" vertical="center"/>
    </xf>
    <xf numFmtId="165" fontId="0" fillId="0" borderId="11" xfId="1" applyNumberFormat="1" applyFont="1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10" fontId="0" fillId="0" borderId="15" xfId="2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18" xfId="2" applyNumberFormat="1" applyFont="1" applyBorder="1" applyAlignment="1">
      <alignment horizontal="center" vertical="center"/>
    </xf>
    <xf numFmtId="10" fontId="0" fillId="0" borderId="16" xfId="2" applyNumberFormat="1" applyFont="1" applyBorder="1" applyAlignment="1">
      <alignment horizontal="center" vertical="center"/>
    </xf>
    <xf numFmtId="10" fontId="0" fillId="0" borderId="17" xfId="2" applyNumberFormat="1" applyFont="1" applyBorder="1" applyAlignment="1">
      <alignment horizontal="center" vertical="center"/>
    </xf>
    <xf numFmtId="10" fontId="0" fillId="0" borderId="19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165" fontId="0" fillId="12" borderId="9" xfId="1" applyNumberFormat="1" applyFont="1" applyFill="1" applyBorder="1" applyAlignment="1">
      <alignment horizontal="center" vertical="center"/>
    </xf>
    <xf numFmtId="165" fontId="0" fillId="12" borderId="10" xfId="1" applyNumberFormat="1" applyFont="1" applyFill="1" applyBorder="1" applyAlignment="1">
      <alignment horizontal="center" vertical="center"/>
    </xf>
    <xf numFmtId="165" fontId="0" fillId="12" borderId="11" xfId="1" applyNumberFormat="1" applyFont="1" applyFill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" fontId="8" fillId="0" borderId="13" xfId="0" applyNumberFormat="1" applyFont="1" applyBorder="1" applyAlignment="1">
      <alignment horizontal="center" vertical="center" wrapText="1"/>
    </xf>
    <xf numFmtId="17" fontId="8" fillId="0" borderId="14" xfId="0" applyNumberFormat="1" applyFont="1" applyBorder="1" applyAlignment="1">
      <alignment horizontal="center" vertical="center" wrapText="1"/>
    </xf>
    <xf numFmtId="17" fontId="0" fillId="0" borderId="9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8" fillId="12" borderId="12" xfId="0" applyNumberFormat="1" applyFont="1" applyFill="1" applyBorder="1" applyAlignment="1">
      <alignment horizontal="center" vertical="center"/>
    </xf>
    <xf numFmtId="17" fontId="8" fillId="12" borderId="13" xfId="0" applyNumberFormat="1" applyFont="1" applyFill="1" applyBorder="1" applyAlignment="1">
      <alignment horizontal="center" vertical="center"/>
    </xf>
    <xf numFmtId="17" fontId="8" fillId="12" borderId="14" xfId="0" applyNumberFormat="1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14" borderId="31" xfId="0" applyFont="1" applyFill="1" applyBorder="1" applyAlignment="1">
      <alignment horizontal="right" vertical="center"/>
    </xf>
    <xf numFmtId="0" fontId="8" fillId="14" borderId="33" xfId="0" applyFont="1" applyFill="1" applyBorder="1" applyAlignment="1">
      <alignment horizontal="right" vertical="center"/>
    </xf>
    <xf numFmtId="0" fontId="8" fillId="14" borderId="35" xfId="0" applyFont="1" applyFill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0" fontId="8" fillId="0" borderId="32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8" fillId="14" borderId="2" xfId="0" applyFont="1" applyFill="1" applyBorder="1" applyAlignment="1">
      <alignment horizontal="right" vertical="center"/>
    </xf>
    <xf numFmtId="0" fontId="8" fillId="14" borderId="7" xfId="0" applyFont="1" applyFill="1" applyBorder="1" applyAlignment="1">
      <alignment horizontal="right" vertical="center"/>
    </xf>
    <xf numFmtId="0" fontId="8" fillId="14" borderId="3" xfId="0" applyFont="1" applyFill="1" applyBorder="1" applyAlignment="1">
      <alignment horizontal="right" vertical="center"/>
    </xf>
    <xf numFmtId="0" fontId="24" fillId="15" borderId="7" xfId="0" applyFont="1" applyFill="1" applyBorder="1" applyAlignment="1">
      <alignment vertical="center"/>
    </xf>
    <xf numFmtId="0" fontId="24" fillId="15" borderId="31" xfId="0" applyFont="1" applyFill="1" applyBorder="1" applyAlignment="1">
      <alignment vertical="center"/>
    </xf>
    <xf numFmtId="0" fontId="24" fillId="15" borderId="33" xfId="0" applyFont="1" applyFill="1" applyBorder="1" applyAlignment="1">
      <alignment vertical="center"/>
    </xf>
    <xf numFmtId="0" fontId="24" fillId="15" borderId="46" xfId="0" applyFont="1" applyFill="1" applyBorder="1" applyAlignment="1">
      <alignment vertical="center"/>
    </xf>
    <xf numFmtId="0" fontId="24" fillId="15" borderId="2" xfId="0" applyFont="1" applyFill="1" applyBorder="1" applyAlignment="1">
      <alignment horizontal="right" vertical="center"/>
    </xf>
    <xf numFmtId="0" fontId="24" fillId="15" borderId="7" xfId="0" applyFont="1" applyFill="1" applyBorder="1" applyAlignment="1">
      <alignment horizontal="right" vertical="center"/>
    </xf>
    <xf numFmtId="0" fontId="24" fillId="15" borderId="3" xfId="0" applyFont="1" applyFill="1" applyBorder="1" applyAlignment="1">
      <alignment horizontal="right" vertical="center"/>
    </xf>
    <xf numFmtId="0" fontId="24" fillId="15" borderId="2" xfId="0" applyFont="1" applyFill="1" applyBorder="1" applyAlignment="1">
      <alignment vertical="center"/>
    </xf>
    <xf numFmtId="0" fontId="24" fillId="15" borderId="23" xfId="0" applyFont="1" applyFill="1" applyBorder="1" applyAlignment="1">
      <alignment vertical="center"/>
    </xf>
    <xf numFmtId="0" fontId="24" fillId="15" borderId="52" xfId="0" applyFont="1" applyFill="1" applyBorder="1" applyAlignment="1">
      <alignment horizontal="right" vertical="center"/>
    </xf>
    <xf numFmtId="0" fontId="24" fillId="7" borderId="29" xfId="0" applyFont="1" applyFill="1" applyBorder="1" applyAlignment="1">
      <alignment vertical="center"/>
    </xf>
    <xf numFmtId="0" fontId="24" fillId="7" borderId="30" xfId="0" applyFont="1" applyFill="1" applyBorder="1" applyAlignment="1">
      <alignment vertical="center"/>
    </xf>
    <xf numFmtId="0" fontId="24" fillId="7" borderId="24" xfId="0" applyFont="1" applyFill="1" applyBorder="1" applyAlignment="1">
      <alignment vertical="center"/>
    </xf>
    <xf numFmtId="0" fontId="24" fillId="7" borderId="26" xfId="0" applyFont="1" applyFill="1" applyBorder="1" applyAlignment="1">
      <alignment vertical="center"/>
    </xf>
    <xf numFmtId="0" fontId="24" fillId="7" borderId="28" xfId="0" applyFont="1" applyFill="1" applyBorder="1" applyAlignment="1">
      <alignment vertical="center"/>
    </xf>
    <xf numFmtId="0" fontId="24" fillId="7" borderId="2" xfId="0" applyFont="1" applyFill="1" applyBorder="1" applyAlignment="1">
      <alignment vertical="center"/>
    </xf>
    <xf numFmtId="0" fontId="24" fillId="7" borderId="7" xfId="0" applyFont="1" applyFill="1" applyBorder="1" applyAlignment="1">
      <alignment vertical="center"/>
    </xf>
    <xf numFmtId="0" fontId="24" fillId="7" borderId="23" xfId="0" applyFont="1" applyFill="1" applyBorder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99"/>
      <color rgb="FFFFCC00"/>
      <color rgb="FFB7D3EF"/>
      <color rgb="FFE5CEFA"/>
      <color rgb="FFF7E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Zinia-AwarenessTrainingportal/Shared%20Documents/Zinia%20-%20Documents%20DE/Apple_BNPL%20Special%20Task%20Force%20GDPR/GDPR%20Cases%20BNPL%20-%20from%20September%202025.xlsx" TargetMode="External"/><Relationship Id="rId1" Type="http://schemas.openxmlformats.org/officeDocument/2006/relationships/externalLinkPath" Target="https://santandernet.sharepoint.com/sites/Zinia-AwarenessTrainingportal/Shared%20Documents/Zinia%20-%20Documents%20DE/Apple_BNPL%20Special%20Task%20Force%20GDPR/GDPR%20Cases%20BNPL%20-%20from%20Sept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Zinia-AwarenessTrainingportal/Shared%20Documents/Zinia%20-%20Documents%20DE/AMAZON%20GIL%20ESPA&#209;A/GDPR/EXCEL%20AMAZON%20ESPA&#209;A.xlsx" TargetMode="External"/><Relationship Id="rId1" Type="http://schemas.openxmlformats.org/officeDocument/2006/relationships/externalLinkPath" Target="https://santandernet.sharepoint.com/sites/Zinia-AwarenessTrainingportal/Shared%20Documents/Zinia%20-%20Documents%20DE/AMAZON%20GIL%20ESPA&#209;A/GDPR/EXCEL%20AMAZON%20ESPA&#209;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Cobranded426/Shared%20Documents/Cobranded-%20Documents%20DE/AMAZON/+AMZ%20Special%20Task%20Force%20GDPR/GDPR%20Cases%20Cobranded%20-%20from%20September%202025.xlsx" TargetMode="External"/><Relationship Id="rId1" Type="http://schemas.openxmlformats.org/officeDocument/2006/relationships/externalLinkPath" Target="https://santandernet.sharepoint.com/sites/Cobranded426/Shared%20Documents/Cobranded-%20Documents%20DE/AMAZON/+AMZ%20Special%20Task%20Force%20GDPR/GDPR%20Cases%20Cobranded%20-%20from%20Sept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.sharepoint.com/sites/Zinia-AwarenessTrainingportal/Shared%20Documents/Zinia%20-%20Documents%20DE/GDPR%20DE/GDPR%20Cases%20BNPL%20-%20from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_c0FUDY2k-ZBA5FYXdgz9SC-aealkNFjC1d1v4EDs0Tzgc48MfCRIrIRTAaNva2" itemId="014LNDP2NF2EIK66ANHRAJ5OQWBIF34PBM">
      <xxl21:absoluteUrl r:id="rId2"/>
    </xxl21:alternateUrls>
    <sheetNames>
      <sheetName val="TOTAL"/>
      <sheetName val="Hoja1"/>
      <sheetName val="Ejecución fin de día (2)"/>
      <sheetName val="Detalle1"/>
      <sheetName val="Right of access and Portability"/>
      <sheetName val="Delete Data"/>
      <sheetName val="Opposition rights"/>
      <sheetName val="Reason of denial"/>
      <sheetName val="Right of rectification"/>
      <sheetName val="Manual Review"/>
      <sheetName val="Ejecución fin de día"/>
      <sheetName val="TD_NO TOUCH"/>
      <sheetName val="No GDPR"/>
      <sheetName val="Explicación columnas"/>
      <sheetName val="RISK"/>
      <sheetName val="TD_TD"/>
      <sheetName val="Hoja2"/>
      <sheetName val="Tranxfer"/>
      <sheetName val="TD"/>
      <sheetName val="Detalle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U9">
            <v>13</v>
          </cell>
          <cell r="V9">
            <v>162</v>
          </cell>
          <cell r="X9">
            <v>49</v>
          </cell>
          <cell r="Y9">
            <v>7</v>
          </cell>
          <cell r="AA9">
            <v>429</v>
          </cell>
          <cell r="AB9">
            <v>27</v>
          </cell>
        </row>
        <row r="10">
          <cell r="U10">
            <v>0</v>
          </cell>
          <cell r="V10">
            <v>1</v>
          </cell>
          <cell r="X10">
            <v>0</v>
          </cell>
          <cell r="Y10">
            <v>0</v>
          </cell>
          <cell r="AA10">
            <v>1</v>
          </cell>
          <cell r="AB1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_c0FUDY2k-ZBA5FYXdgz9SC-aealkNFjC1d1v4EDs0Tzgc48MfCRIrIRTAaNva2" itemId="014LNDP2MFUVOL555EWFEKWH5ANVF5D7IN">
      <xxl21:absoluteUrl r:id="rId2"/>
    </xxl21:alternateUrls>
    <sheetNames>
      <sheetName val="Derecho de acceso"/>
      <sheetName val="Motivos de denegación"/>
      <sheetName val="Derecho de oposición"/>
      <sheetName val="Derecho de borrado"/>
      <sheetName val="Derecho de Portabilidad"/>
      <sheetName val="Derecho de rectificación"/>
      <sheetName val="Revisión manual"/>
      <sheetName val="Ejecución fin de día"/>
      <sheetName val="TD_NO TOCAR"/>
      <sheetName val="Risk"/>
      <sheetName val="No GDPR"/>
      <sheetName val="TD"/>
      <sheetName val="Hoja1"/>
      <sheetName val="NO_GD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V29">
            <v>4</v>
          </cell>
          <cell r="W29">
            <v>5</v>
          </cell>
          <cell r="Y29">
            <v>24</v>
          </cell>
          <cell r="Z29">
            <v>4</v>
          </cell>
          <cell r="AB29">
            <v>250</v>
          </cell>
          <cell r="AC29">
            <v>19</v>
          </cell>
        </row>
        <row r="30">
          <cell r="V30">
            <v>0</v>
          </cell>
          <cell r="W30">
            <v>0</v>
          </cell>
          <cell r="X30" t="str">
            <v>N/A</v>
          </cell>
          <cell r="Y30">
            <v>0</v>
          </cell>
          <cell r="Z30">
            <v>0</v>
          </cell>
          <cell r="AA30" t="str">
            <v>N/A</v>
          </cell>
          <cell r="AB30">
            <v>24</v>
          </cell>
          <cell r="AC30">
            <v>0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ZnRz76gBkm7bVwUKVLviaLgQkqDAZBIlWERf8mLpsSayVQFOq_WRpMa05mr2MeI" itemId="01WQ4TQ235XZJVEED6BNG2VHJLU3I2UYLU">
      <xxl21:absoluteUrl r:id="rId2"/>
    </xxl21:alternateUrls>
    <sheetNames>
      <sheetName val="TOTAL"/>
      <sheetName val="Hoja1"/>
      <sheetName val="Hoja3"/>
      <sheetName val="Hoja4"/>
      <sheetName val="Revisión Approved"/>
      <sheetName val="Right of access and Portability"/>
      <sheetName val="Delete Data"/>
      <sheetName val="Opposition Rights"/>
      <sheetName val="Reason of the denial"/>
      <sheetName val="Manual Review"/>
      <sheetName val="Manual review limit increase"/>
      <sheetName val="Ejecución fin de día"/>
      <sheetName val="No GDPR"/>
      <sheetName val="TD_NO TOUCH"/>
      <sheetName val="Reason of Denial CST BRANCH"/>
      <sheetName val="Otros Casos"/>
      <sheetName val="Tranxfer "/>
      <sheetName val="Hoja5"/>
      <sheetName val="Descripción MR columnas"/>
      <sheetName val="Hoja2"/>
      <sheetName val="Detal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2">
          <cell r="V32">
            <v>5</v>
          </cell>
          <cell r="W32" t="str">
            <v>N/A</v>
          </cell>
          <cell r="X32" t="str">
            <v>N/A</v>
          </cell>
          <cell r="Y32">
            <v>27</v>
          </cell>
          <cell r="Z32">
            <v>2</v>
          </cell>
          <cell r="AA32">
            <v>7</v>
          </cell>
          <cell r="AB32">
            <v>117</v>
          </cell>
          <cell r="AC32">
            <v>11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_NO TOUCH"/>
      <sheetName val="TOTAL"/>
      <sheetName val="Hoja1"/>
      <sheetName val="Ejecución fin de día (2)"/>
      <sheetName val="Detalle1"/>
      <sheetName val="Right of access and Portability"/>
      <sheetName val="Delete Data"/>
      <sheetName val="Ejecución fin de día"/>
      <sheetName val="Opposition rights"/>
      <sheetName val="Right of rectification"/>
      <sheetName val="Reason of denial"/>
      <sheetName val="Manual Review"/>
      <sheetName val="No GDPR"/>
      <sheetName val="Explicación columnas"/>
      <sheetName val="RISK"/>
      <sheetName val="TD_TD"/>
      <sheetName val="Hoja2"/>
      <sheetName val="Tranxfer"/>
    </sheetNames>
    <sheetDataSet>
      <sheetData sheetId="0">
        <row r="10">
          <cell r="U10">
            <v>1</v>
          </cell>
          <cell r="V10">
            <v>12</v>
          </cell>
          <cell r="W10">
            <v>200</v>
          </cell>
          <cell r="X10">
            <v>0</v>
          </cell>
          <cell r="Y10">
            <v>0</v>
          </cell>
          <cell r="Z10" t="str">
            <v>N/A</v>
          </cell>
          <cell r="AA10">
            <v>10</v>
          </cell>
          <cell r="AB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86A9-8B7D-4065-AC38-171C6894104E}">
  <dimension ref="B2:E10"/>
  <sheetViews>
    <sheetView workbookViewId="0">
      <selection activeCell="B16" sqref="B16"/>
    </sheetView>
  </sheetViews>
  <sheetFormatPr defaultColWidth="11.42578125" defaultRowHeight="14.45"/>
  <cols>
    <col min="3" max="3" width="26.140625" customWidth="1"/>
    <col min="4" max="4" width="15.42578125" customWidth="1"/>
    <col min="5" max="5" width="19.5703125" customWidth="1"/>
  </cols>
  <sheetData>
    <row r="2" spans="2:5" ht="23.1" customHeight="1">
      <c r="B2" s="218" t="s">
        <v>0</v>
      </c>
      <c r="C2" s="219"/>
      <c r="D2" s="2" t="s">
        <v>1</v>
      </c>
      <c r="E2" s="2" t="s">
        <v>2</v>
      </c>
    </row>
    <row r="3" spans="2:5" ht="18.95" customHeight="1">
      <c r="B3" s="216" t="s">
        <v>3</v>
      </c>
      <c r="C3" s="8" t="s">
        <v>4</v>
      </c>
      <c r="D3" s="4">
        <v>0</v>
      </c>
      <c r="E3" s="5"/>
    </row>
    <row r="4" spans="2:5" ht="18.95" customHeight="1">
      <c r="B4" s="216"/>
      <c r="C4" s="12" t="s">
        <v>5</v>
      </c>
      <c r="D4" s="4">
        <v>0</v>
      </c>
      <c r="E4" s="5"/>
    </row>
    <row r="5" spans="2:5" ht="16.5" customHeight="1">
      <c r="B5" s="216"/>
      <c r="C5" s="12" t="s">
        <v>6</v>
      </c>
      <c r="D5" s="4">
        <v>0</v>
      </c>
      <c r="E5" s="5"/>
    </row>
    <row r="6" spans="2:5" ht="19.5" customHeight="1">
      <c r="B6" s="216"/>
      <c r="C6" s="9" t="s">
        <v>7</v>
      </c>
      <c r="D6" s="4">
        <v>0</v>
      </c>
      <c r="E6" s="5"/>
    </row>
    <row r="7" spans="2:5" ht="17.100000000000001" customHeight="1">
      <c r="B7" s="216"/>
      <c r="C7" s="12" t="s">
        <v>8</v>
      </c>
      <c r="D7" s="4">
        <v>0</v>
      </c>
      <c r="E7" s="5"/>
    </row>
    <row r="8" spans="2:5" ht="17.45" customHeight="1">
      <c r="B8" s="216"/>
      <c r="C8" s="13" t="s">
        <v>9</v>
      </c>
      <c r="D8" s="14">
        <v>0</v>
      </c>
      <c r="E8" s="15"/>
    </row>
    <row r="9" spans="2:5" ht="17.100000000000001" customHeight="1">
      <c r="B9" s="217"/>
      <c r="C9" s="3" t="s">
        <v>10</v>
      </c>
      <c r="D9" s="11">
        <f>SUM(D3:D4)</f>
        <v>0</v>
      </c>
      <c r="E9" s="16"/>
    </row>
    <row r="10" spans="2:5" ht="18" customHeight="1">
      <c r="B10" s="217"/>
      <c r="C10" s="3" t="s">
        <v>11</v>
      </c>
      <c r="D10" s="11">
        <f>SUM(D5:D8)</f>
        <v>0</v>
      </c>
      <c r="E10" s="16"/>
    </row>
  </sheetData>
  <mergeCells count="2">
    <mergeCell ref="B3:B10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B74F-694D-4187-B79A-E5EFD9BAD628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811A-A501-45CC-82DE-492A08D313FF}">
  <dimension ref="A2:BK114"/>
  <sheetViews>
    <sheetView showGridLines="0" tabSelected="1" zoomScale="85" zoomScaleNormal="85" workbookViewId="0">
      <pane xSplit="3" ySplit="5" topLeftCell="D17" activePane="bottomRight" state="frozen"/>
      <selection pane="bottomRight" activeCell="O26" sqref="O26:O29"/>
      <selection pane="bottomLeft" activeCell="A6" sqref="A6"/>
      <selection pane="topRight" activeCell="D1" sqref="D1"/>
    </sheetView>
  </sheetViews>
  <sheetFormatPr defaultColWidth="11.42578125" defaultRowHeight="14.45"/>
  <cols>
    <col min="1" max="1" width="14.28515625" customWidth="1"/>
    <col min="4" max="4" width="13.5703125" customWidth="1"/>
    <col min="5" max="6" width="13.85546875" customWidth="1"/>
    <col min="8" max="8" width="11.140625" customWidth="1"/>
    <col min="9" max="9" width="17.85546875" customWidth="1"/>
    <col min="10" max="10" width="11.42578125" customWidth="1"/>
    <col min="12" max="16" width="11.42578125" customWidth="1"/>
    <col min="17" max="17" width="5.85546875" customWidth="1"/>
    <col min="18" max="18" width="9.5703125" customWidth="1"/>
    <col min="32" max="32" width="5.85546875" customWidth="1"/>
    <col min="34" max="38" width="13.28515625" bestFit="1" customWidth="1"/>
    <col min="39" max="39" width="19.42578125" customWidth="1"/>
    <col min="40" max="40" width="14.140625" customWidth="1"/>
    <col min="41" max="41" width="12.28515625" customWidth="1"/>
    <col min="42" max="46" width="13.28515625" bestFit="1" customWidth="1"/>
    <col min="48" max="48" width="12" bestFit="1" customWidth="1"/>
    <col min="62" max="62" width="14.5703125" customWidth="1"/>
  </cols>
  <sheetData>
    <row r="2" spans="1:63">
      <c r="BJ2" t="s">
        <v>12</v>
      </c>
      <c r="BK2">
        <f>8*60</f>
        <v>480</v>
      </c>
    </row>
    <row r="3" spans="1:63" ht="15" thickBot="1">
      <c r="BJ3" t="s">
        <v>13</v>
      </c>
      <c r="BK3">
        <v>20</v>
      </c>
    </row>
    <row r="4" spans="1:63" ht="15" thickBot="1">
      <c r="R4" s="259" t="s">
        <v>14</v>
      </c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1"/>
      <c r="AH4" s="224" t="s">
        <v>15</v>
      </c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V4" s="18" t="s">
        <v>16</v>
      </c>
    </row>
    <row r="5" spans="1:63" ht="34.5" customHeight="1" thickBot="1">
      <c r="B5" s="28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87" t="s">
        <v>26</v>
      </c>
      <c r="M5" s="87" t="s">
        <v>27</v>
      </c>
      <c r="N5" s="87" t="s">
        <v>28</v>
      </c>
      <c r="O5" s="87" t="s">
        <v>29</v>
      </c>
      <c r="P5" s="87" t="s">
        <v>30</v>
      </c>
      <c r="R5" s="108" t="s">
        <v>31</v>
      </c>
      <c r="S5" s="82" t="s">
        <v>18</v>
      </c>
      <c r="T5" s="82" t="s">
        <v>19</v>
      </c>
      <c r="U5" s="82" t="s">
        <v>20</v>
      </c>
      <c r="V5" s="82" t="s">
        <v>32</v>
      </c>
      <c r="W5" s="82" t="s">
        <v>22</v>
      </c>
      <c r="X5" s="82" t="s">
        <v>23</v>
      </c>
      <c r="Y5" s="2" t="s">
        <v>24</v>
      </c>
      <c r="Z5" s="82" t="s">
        <v>25</v>
      </c>
      <c r="AA5" s="90" t="s">
        <v>26</v>
      </c>
      <c r="AB5" s="90" t="s">
        <v>27</v>
      </c>
      <c r="AC5" s="90" t="s">
        <v>28</v>
      </c>
      <c r="AD5" s="90" t="s">
        <v>29</v>
      </c>
      <c r="AE5" s="90" t="s">
        <v>30</v>
      </c>
      <c r="AG5" s="82" t="s">
        <v>33</v>
      </c>
      <c r="AH5" s="82" t="s">
        <v>18</v>
      </c>
      <c r="AI5" s="82" t="s">
        <v>19</v>
      </c>
      <c r="AJ5" s="89" t="s">
        <v>20</v>
      </c>
      <c r="AK5" s="82" t="s">
        <v>32</v>
      </c>
      <c r="AL5" s="82" t="s">
        <v>22</v>
      </c>
      <c r="AM5" s="82" t="s">
        <v>23</v>
      </c>
      <c r="AN5" s="2" t="s">
        <v>24</v>
      </c>
      <c r="AO5" s="82" t="s">
        <v>25</v>
      </c>
      <c r="AP5" s="90" t="s">
        <v>26</v>
      </c>
      <c r="AQ5" s="90" t="s">
        <v>27</v>
      </c>
      <c r="AR5" s="90" t="s">
        <v>28</v>
      </c>
      <c r="AS5" s="90" t="s">
        <v>29</v>
      </c>
      <c r="AT5" s="90" t="s">
        <v>30</v>
      </c>
      <c r="AV5" s="10" t="s">
        <v>18</v>
      </c>
      <c r="AW5" s="10" t="s">
        <v>19</v>
      </c>
      <c r="AX5" s="10" t="s">
        <v>20</v>
      </c>
      <c r="AY5" s="10" t="s">
        <v>32</v>
      </c>
      <c r="AZ5" s="10" t="s">
        <v>22</v>
      </c>
      <c r="BA5" s="10" t="s">
        <v>23</v>
      </c>
      <c r="BB5" s="10" t="s">
        <v>34</v>
      </c>
      <c r="BC5" s="10" t="s">
        <v>25</v>
      </c>
      <c r="BD5" s="78" t="s">
        <v>26</v>
      </c>
      <c r="BE5" s="78" t="s">
        <v>27</v>
      </c>
      <c r="BF5" s="78" t="s">
        <v>28</v>
      </c>
      <c r="BG5" s="78" t="s">
        <v>29</v>
      </c>
      <c r="BH5" s="78" t="s">
        <v>30</v>
      </c>
      <c r="BK5" s="18"/>
    </row>
    <row r="6" spans="1:63">
      <c r="A6" s="244">
        <v>45901</v>
      </c>
      <c r="B6" s="277">
        <f>+SUM(D6:P9)</f>
        <v>2241</v>
      </c>
      <c r="C6" s="54" t="s">
        <v>35</v>
      </c>
      <c r="D6" s="46">
        <v>12</v>
      </c>
      <c r="E6" s="30">
        <v>258</v>
      </c>
      <c r="F6" s="30">
        <f>10*20</f>
        <v>200</v>
      </c>
      <c r="G6" s="30">
        <v>40</v>
      </c>
      <c r="H6" s="30">
        <v>4</v>
      </c>
      <c r="I6" s="30" t="s">
        <v>36</v>
      </c>
      <c r="J6" s="30">
        <v>1034</v>
      </c>
      <c r="K6" s="88">
        <v>14</v>
      </c>
      <c r="L6" s="227">
        <v>22</v>
      </c>
      <c r="M6" s="227">
        <v>1</v>
      </c>
      <c r="N6" s="227">
        <v>12</v>
      </c>
      <c r="O6" s="227"/>
      <c r="P6" s="230"/>
      <c r="Q6" s="21"/>
      <c r="R6" s="277">
        <f>+SUM(S6:AE9)</f>
        <v>13.791666666666666</v>
      </c>
      <c r="S6" s="48">
        <f t="shared" ref="S6:AE6" si="0">+IFERROR((D6*AH6)/$BK$2/$BK$3,"N/A")</f>
        <v>7.7499999999999999E-2</v>
      </c>
      <c r="T6" s="49">
        <f t="shared" si="0"/>
        <v>1.8006250000000001</v>
      </c>
      <c r="U6" s="49">
        <f t="shared" si="0"/>
        <v>0.16666666666666669</v>
      </c>
      <c r="V6" s="49">
        <f t="shared" si="0"/>
        <v>0.17499999999999999</v>
      </c>
      <c r="W6" s="49">
        <f t="shared" si="0"/>
        <v>1.8333333333333333E-2</v>
      </c>
      <c r="X6" s="49" t="str">
        <f t="shared" si="0"/>
        <v>N/A</v>
      </c>
      <c r="Y6" s="49">
        <f t="shared" si="0"/>
        <v>5.8162500000000001</v>
      </c>
      <c r="Z6" s="49">
        <f t="shared" si="0"/>
        <v>0.13708333333333333</v>
      </c>
      <c r="AA6" s="227">
        <f t="shared" si="0"/>
        <v>0.515625</v>
      </c>
      <c r="AB6" s="227">
        <f t="shared" si="0"/>
        <v>0.05</v>
      </c>
      <c r="AC6" s="227">
        <f t="shared" si="0"/>
        <v>0.05</v>
      </c>
      <c r="AD6" s="227">
        <f t="shared" si="0"/>
        <v>0</v>
      </c>
      <c r="AE6" s="230">
        <f t="shared" si="0"/>
        <v>0</v>
      </c>
      <c r="AF6" s="21"/>
      <c r="AG6" s="268" cm="1">
        <f t="array" ref="AG6">SUMPRODUCT(IFERROR(AH6:AO9,0),IFERROR(AV6:BC9,0)) + SUMPRODUCT(IFERROR(AP6:AT6,0),IFERROR(BD6:BH6,0))</f>
        <v>59.080767514502448</v>
      </c>
      <c r="AH6" s="32">
        <f>+'Catálogo de servicios v0.1'!B5</f>
        <v>62</v>
      </c>
      <c r="AI6" s="33">
        <f>+'Catálogo de servicios v0.1'!C5</f>
        <v>67</v>
      </c>
      <c r="AJ6" s="33">
        <f>+'Catálogo de servicios v0.1'!D5</f>
        <v>8</v>
      </c>
      <c r="AK6" s="33">
        <f>+'Catálogo de servicios v0.1'!E5</f>
        <v>42</v>
      </c>
      <c r="AL6" s="33">
        <f>+'Catálogo de servicios v0.1'!F5</f>
        <v>44</v>
      </c>
      <c r="AM6" s="33">
        <f>+'Catálogo de servicios v0.1'!G5</f>
        <v>29</v>
      </c>
      <c r="AN6" s="33">
        <f>+'Catálogo de servicios v0.1'!H5</f>
        <v>54</v>
      </c>
      <c r="AO6" s="33">
        <f>+'Catálogo de servicios v0.1'!I5</f>
        <v>94</v>
      </c>
      <c r="AP6" s="227">
        <f>+'Catálogo de servicios v0.1'!T51</f>
        <v>225</v>
      </c>
      <c r="AQ6" s="227">
        <f>+'Catálogo de servicios v0.1'!T52</f>
        <v>480</v>
      </c>
      <c r="AR6" s="227">
        <f>+'Catálogo de servicios v0.1'!T53</f>
        <v>40</v>
      </c>
      <c r="AS6" s="227">
        <f>+'Catálogo de servicios v0.1'!T54</f>
        <v>30</v>
      </c>
      <c r="AT6" s="230">
        <f>+'Catálogo de servicios v0.1'!T55</f>
        <v>45</v>
      </c>
      <c r="AV6" s="38">
        <f t="shared" ref="AV6:BH6" si="1">+IFERROR(D6/$B$6,"N/A")</f>
        <v>5.3547523427041497E-3</v>
      </c>
      <c r="AW6" s="39">
        <f t="shared" si="1"/>
        <v>0.11512717536813923</v>
      </c>
      <c r="AX6" s="39">
        <f t="shared" si="1"/>
        <v>8.9245872378402494E-2</v>
      </c>
      <c r="AY6" s="39">
        <f t="shared" si="1"/>
        <v>1.7849174475680501E-2</v>
      </c>
      <c r="AZ6" s="39">
        <f t="shared" si="1"/>
        <v>1.7849174475680499E-3</v>
      </c>
      <c r="BA6" s="39" t="str">
        <f t="shared" si="1"/>
        <v>N/A</v>
      </c>
      <c r="BB6" s="39">
        <f t="shared" si="1"/>
        <v>0.46140116019634092</v>
      </c>
      <c r="BC6" s="39">
        <f t="shared" si="1"/>
        <v>6.2472110664881751E-3</v>
      </c>
      <c r="BD6" s="262">
        <f t="shared" si="1"/>
        <v>9.8170459616242749E-3</v>
      </c>
      <c r="BE6" s="262">
        <f t="shared" si="1"/>
        <v>4.4622936189201248E-4</v>
      </c>
      <c r="BF6" s="262">
        <f t="shared" si="1"/>
        <v>5.3547523427041497E-3</v>
      </c>
      <c r="BG6" s="262">
        <f t="shared" si="1"/>
        <v>0</v>
      </c>
      <c r="BH6" s="265">
        <f t="shared" si="1"/>
        <v>0</v>
      </c>
      <c r="BI6" s="21"/>
    </row>
    <row r="7" spans="1:63">
      <c r="A7" s="245"/>
      <c r="B7" s="278"/>
      <c r="C7" s="55" t="s">
        <v>37</v>
      </c>
      <c r="D7" s="46">
        <v>0</v>
      </c>
      <c r="E7" s="30">
        <v>0</v>
      </c>
      <c r="F7" s="30" t="s">
        <v>36</v>
      </c>
      <c r="G7" s="30">
        <v>3</v>
      </c>
      <c r="H7" s="30">
        <v>0</v>
      </c>
      <c r="I7" s="30" t="s">
        <v>36</v>
      </c>
      <c r="J7" s="30">
        <v>26</v>
      </c>
      <c r="K7" s="30">
        <v>1</v>
      </c>
      <c r="L7" s="228"/>
      <c r="M7" s="228"/>
      <c r="N7" s="228"/>
      <c r="O7" s="228"/>
      <c r="P7" s="231"/>
      <c r="Q7" s="21"/>
      <c r="R7" s="278"/>
      <c r="S7" s="50">
        <f t="shared" ref="S7:S29" si="2">+IFERROR((D7*AH7)/$BK$2/$BK$3,"N/A")</f>
        <v>0</v>
      </c>
      <c r="T7" s="51">
        <f t="shared" ref="T7:T29" si="3">+IFERROR((E7*AI7)/$BK$2/$BK$3,"N/A")</f>
        <v>0</v>
      </c>
      <c r="U7" s="51" t="str">
        <f t="shared" ref="U7:U29" si="4">+IFERROR((F7*AJ7)/$BK$2/$BK$3,"N/A")</f>
        <v>N/A</v>
      </c>
      <c r="V7" s="51">
        <f t="shared" ref="V7:V29" si="5">+IFERROR((G7*AK7)/$BK$2/$BK$3,"N/A")</f>
        <v>1.3125000000000001E-2</v>
      </c>
      <c r="W7" s="51">
        <f t="shared" ref="W7:W29" si="6">+IFERROR((H7*AL7)/$BK$2/$BK$3,"N/A")</f>
        <v>0</v>
      </c>
      <c r="X7" s="51" t="str">
        <f t="shared" ref="X7:X29" si="7">+IFERROR((I7*AM7)/$BK$2/$BK$3,"N/A")</f>
        <v>N/A</v>
      </c>
      <c r="Y7" s="51">
        <f t="shared" ref="Y7:Y29" si="8">+IFERROR((J7*AN7)/$BK$2/$BK$3,"N/A")</f>
        <v>0.14624999999999999</v>
      </c>
      <c r="Z7" s="51">
        <f t="shared" ref="Z7:Z29" si="9">+IFERROR((K7*AO7)/$BK$2/$BK$3,"N/A")</f>
        <v>9.7916666666666673E-3</v>
      </c>
      <c r="AA7" s="228"/>
      <c r="AB7" s="228"/>
      <c r="AC7" s="228"/>
      <c r="AD7" s="228"/>
      <c r="AE7" s="231"/>
      <c r="AF7" s="21"/>
      <c r="AG7" s="269"/>
      <c r="AH7" s="35">
        <f>+'Catálogo de servicios v0.1'!B6</f>
        <v>90</v>
      </c>
      <c r="AI7" s="6">
        <f>+'Catálogo de servicios v0.1'!C6</f>
        <v>54</v>
      </c>
      <c r="AJ7" s="30">
        <f>+'Catálogo de servicios v0.1'!D6</f>
        <v>8</v>
      </c>
      <c r="AK7" s="6">
        <f>+'Catálogo de servicios v0.1'!E6</f>
        <v>42</v>
      </c>
      <c r="AL7" s="6">
        <f>+'Catálogo de servicios v0.1'!F6</f>
        <v>44</v>
      </c>
      <c r="AM7" s="6">
        <f>+'Catálogo de servicios v0.1'!G6</f>
        <v>29</v>
      </c>
      <c r="AN7" s="6">
        <f>+'Catálogo de servicios v0.1'!H6</f>
        <v>54</v>
      </c>
      <c r="AO7" s="6">
        <f>+'Catálogo de servicios v0.1'!I6</f>
        <v>94</v>
      </c>
      <c r="AP7" s="228"/>
      <c r="AQ7" s="228"/>
      <c r="AR7" s="228"/>
      <c r="AS7" s="228"/>
      <c r="AT7" s="231"/>
      <c r="AV7" s="40">
        <f t="shared" ref="AV7:BC9" si="10">+IFERROR(D7/$B$6,"N/A")</f>
        <v>0</v>
      </c>
      <c r="AW7" s="41">
        <f t="shared" si="10"/>
        <v>0</v>
      </c>
      <c r="AX7" s="41" t="str">
        <f t="shared" si="10"/>
        <v>N/A</v>
      </c>
      <c r="AY7" s="41">
        <f t="shared" si="10"/>
        <v>1.3386880856760374E-3</v>
      </c>
      <c r="AZ7" s="41">
        <f t="shared" si="10"/>
        <v>0</v>
      </c>
      <c r="BA7" s="41" t="str">
        <f t="shared" si="10"/>
        <v>N/A</v>
      </c>
      <c r="BB7" s="41">
        <f t="shared" si="10"/>
        <v>1.1601963409192326E-2</v>
      </c>
      <c r="BC7" s="41">
        <f t="shared" si="10"/>
        <v>4.4622936189201248E-4</v>
      </c>
      <c r="BD7" s="263"/>
      <c r="BE7" s="263"/>
      <c r="BF7" s="263"/>
      <c r="BG7" s="263"/>
      <c r="BH7" s="266"/>
      <c r="BI7" s="21"/>
    </row>
    <row r="8" spans="1:63">
      <c r="A8" s="245"/>
      <c r="B8" s="278"/>
      <c r="C8" s="55" t="s">
        <v>38</v>
      </c>
      <c r="D8" s="46">
        <v>12</v>
      </c>
      <c r="E8" s="30" t="s">
        <v>36</v>
      </c>
      <c r="F8" s="30" t="s">
        <v>36</v>
      </c>
      <c r="G8" s="30">
        <v>23</v>
      </c>
      <c r="H8" s="30">
        <v>1</v>
      </c>
      <c r="I8" s="30">
        <v>10</v>
      </c>
      <c r="J8" s="30">
        <v>231</v>
      </c>
      <c r="K8" s="30">
        <v>323</v>
      </c>
      <c r="L8" s="228"/>
      <c r="M8" s="228"/>
      <c r="N8" s="228"/>
      <c r="O8" s="228"/>
      <c r="P8" s="231"/>
      <c r="Q8" s="21"/>
      <c r="R8" s="278"/>
      <c r="S8" s="50">
        <f t="shared" si="2"/>
        <v>0.1125</v>
      </c>
      <c r="T8" s="51" t="str">
        <f t="shared" si="3"/>
        <v>N/A</v>
      </c>
      <c r="U8" s="51" t="str">
        <f t="shared" si="4"/>
        <v>N/A</v>
      </c>
      <c r="V8" s="51">
        <f t="shared" si="5"/>
        <v>0.11020833333333332</v>
      </c>
      <c r="W8" s="51">
        <f t="shared" si="6"/>
        <v>4.5833333333333334E-3</v>
      </c>
      <c r="X8" s="51">
        <f t="shared" si="7"/>
        <v>3.020833333333333E-2</v>
      </c>
      <c r="Y8" s="51">
        <f t="shared" si="8"/>
        <v>1.2993749999999999</v>
      </c>
      <c r="Z8" s="51">
        <f t="shared" si="9"/>
        <v>3.1627083333333337</v>
      </c>
      <c r="AA8" s="228"/>
      <c r="AB8" s="228"/>
      <c r="AC8" s="228"/>
      <c r="AD8" s="228"/>
      <c r="AE8" s="231"/>
      <c r="AF8" s="21"/>
      <c r="AG8" s="269"/>
      <c r="AH8" s="35">
        <f>+'Catálogo de servicios v0.1'!B7</f>
        <v>90</v>
      </c>
      <c r="AI8" s="6">
        <f>+'Catálogo de servicios v0.1'!C7</f>
        <v>29</v>
      </c>
      <c r="AJ8" s="30">
        <f>+'Catálogo de servicios v0.1'!D7</f>
        <v>8</v>
      </c>
      <c r="AK8" s="6">
        <f>+'Catálogo de servicios v0.1'!E7</f>
        <v>46</v>
      </c>
      <c r="AL8" s="6">
        <f>+'Catálogo de servicios v0.1'!F7</f>
        <v>44</v>
      </c>
      <c r="AM8" s="6">
        <f>+'Catálogo de servicios v0.1'!G7</f>
        <v>29</v>
      </c>
      <c r="AN8" s="6">
        <f>+'Catálogo de servicios v0.1'!H7</f>
        <v>54</v>
      </c>
      <c r="AO8" s="6">
        <f>+'Catálogo de servicios v0.1'!I7</f>
        <v>94</v>
      </c>
      <c r="AP8" s="228"/>
      <c r="AQ8" s="228"/>
      <c r="AR8" s="228"/>
      <c r="AS8" s="228"/>
      <c r="AT8" s="231"/>
      <c r="AV8" s="40">
        <f t="shared" si="10"/>
        <v>5.3547523427041497E-3</v>
      </c>
      <c r="AW8" s="41" t="str">
        <f t="shared" si="10"/>
        <v>N/A</v>
      </c>
      <c r="AX8" s="41" t="str">
        <f t="shared" si="10"/>
        <v>N/A</v>
      </c>
      <c r="AY8" s="41">
        <f t="shared" si="10"/>
        <v>1.0263275323516287E-2</v>
      </c>
      <c r="AZ8" s="41">
        <f t="shared" si="10"/>
        <v>4.4622936189201248E-4</v>
      </c>
      <c r="BA8" s="41">
        <f t="shared" si="10"/>
        <v>4.4622936189201252E-3</v>
      </c>
      <c r="BB8" s="41">
        <f t="shared" si="10"/>
        <v>0.10307898259705489</v>
      </c>
      <c r="BC8" s="41">
        <f t="shared" si="10"/>
        <v>0.14413208389112003</v>
      </c>
      <c r="BD8" s="263"/>
      <c r="BE8" s="263"/>
      <c r="BF8" s="263"/>
      <c r="BG8" s="263"/>
      <c r="BH8" s="266"/>
      <c r="BI8" s="21"/>
    </row>
    <row r="9" spans="1:63" ht="15" thickBot="1">
      <c r="A9" s="246"/>
      <c r="B9" s="279"/>
      <c r="C9" s="56" t="s">
        <v>39</v>
      </c>
      <c r="D9" s="47">
        <v>1</v>
      </c>
      <c r="E9" s="31" t="s">
        <v>36</v>
      </c>
      <c r="F9" s="31" t="s">
        <v>36</v>
      </c>
      <c r="G9" s="31">
        <v>4</v>
      </c>
      <c r="H9" s="31">
        <v>0</v>
      </c>
      <c r="I9" s="31" t="s">
        <v>36</v>
      </c>
      <c r="J9" s="31">
        <v>5</v>
      </c>
      <c r="K9" s="31">
        <v>4</v>
      </c>
      <c r="L9" s="229"/>
      <c r="M9" s="229"/>
      <c r="N9" s="229"/>
      <c r="O9" s="229"/>
      <c r="P9" s="232"/>
      <c r="Q9" s="21"/>
      <c r="R9" s="279"/>
      <c r="S9" s="52">
        <f t="shared" si="2"/>
        <v>9.3749999999999997E-3</v>
      </c>
      <c r="T9" s="53" t="str">
        <f t="shared" si="3"/>
        <v>N/A</v>
      </c>
      <c r="U9" s="53" t="str">
        <f t="shared" si="4"/>
        <v>N/A</v>
      </c>
      <c r="V9" s="53">
        <f t="shared" si="5"/>
        <v>1.9166666666666669E-2</v>
      </c>
      <c r="W9" s="53">
        <f t="shared" si="6"/>
        <v>0</v>
      </c>
      <c r="X9" s="53" t="str">
        <f t="shared" si="7"/>
        <v>N/A</v>
      </c>
      <c r="Y9" s="53">
        <f t="shared" si="8"/>
        <v>2.8125000000000001E-2</v>
      </c>
      <c r="Z9" s="53">
        <f t="shared" si="9"/>
        <v>3.9166666666666669E-2</v>
      </c>
      <c r="AA9" s="229"/>
      <c r="AB9" s="229"/>
      <c r="AC9" s="229"/>
      <c r="AD9" s="229"/>
      <c r="AE9" s="232"/>
      <c r="AF9" s="21"/>
      <c r="AG9" s="270"/>
      <c r="AH9" s="35">
        <f>+'Catálogo de servicios v0.1'!B8</f>
        <v>90</v>
      </c>
      <c r="AI9" s="6">
        <f>+'Catálogo de servicios v0.1'!C8</f>
        <v>29</v>
      </c>
      <c r="AJ9" s="30">
        <f>+'Catálogo de servicios v0.1'!D8</f>
        <v>8</v>
      </c>
      <c r="AK9" s="6">
        <f>+'Catálogo de servicios v0.1'!E8</f>
        <v>46</v>
      </c>
      <c r="AL9" s="6">
        <f>+'Catálogo de servicios v0.1'!F8</f>
        <v>44</v>
      </c>
      <c r="AM9" s="6">
        <f>+'Catálogo de servicios v0.1'!G8</f>
        <v>29</v>
      </c>
      <c r="AN9" s="6">
        <f>+'Catálogo de servicios v0.1'!H8</f>
        <v>54</v>
      </c>
      <c r="AO9" s="6">
        <f>+'Catálogo de servicios v0.1'!I8</f>
        <v>94</v>
      </c>
      <c r="AP9" s="229"/>
      <c r="AQ9" s="229"/>
      <c r="AR9" s="229"/>
      <c r="AS9" s="229"/>
      <c r="AT9" s="232"/>
      <c r="AV9" s="42">
        <f t="shared" si="10"/>
        <v>4.4622936189201248E-4</v>
      </c>
      <c r="AW9" s="43" t="str">
        <f t="shared" si="10"/>
        <v>N/A</v>
      </c>
      <c r="AX9" s="43" t="str">
        <f t="shared" si="10"/>
        <v>N/A</v>
      </c>
      <c r="AY9" s="43">
        <f t="shared" si="10"/>
        <v>1.7849174475680499E-3</v>
      </c>
      <c r="AZ9" s="43">
        <f t="shared" si="10"/>
        <v>0</v>
      </c>
      <c r="BA9" s="43" t="str">
        <f t="shared" si="10"/>
        <v>N/A</v>
      </c>
      <c r="BB9" s="43">
        <f t="shared" si="10"/>
        <v>2.2311468094600626E-3</v>
      </c>
      <c r="BC9" s="43">
        <f t="shared" si="10"/>
        <v>1.7849174475680499E-3</v>
      </c>
      <c r="BD9" s="264"/>
      <c r="BE9" s="264"/>
      <c r="BF9" s="264"/>
      <c r="BG9" s="264"/>
      <c r="BH9" s="267"/>
      <c r="BI9" s="21"/>
    </row>
    <row r="10" spans="1:63">
      <c r="A10" s="244">
        <v>45931</v>
      </c>
      <c r="B10" s="277">
        <f t="shared" ref="B10" si="11">+SUM(D10:P13)</f>
        <v>2602</v>
      </c>
      <c r="C10" s="54" t="s">
        <v>35</v>
      </c>
      <c r="D10" s="44">
        <v>16</v>
      </c>
      <c r="E10" s="45">
        <v>232</v>
      </c>
      <c r="F10" s="45">
        <f>10*20</f>
        <v>200</v>
      </c>
      <c r="G10" s="45">
        <v>23</v>
      </c>
      <c r="H10" s="45">
        <v>3</v>
      </c>
      <c r="I10" s="45" t="s">
        <v>36</v>
      </c>
      <c r="J10" s="45">
        <v>1096</v>
      </c>
      <c r="K10" s="45">
        <v>46</v>
      </c>
      <c r="L10" s="227">
        <v>55</v>
      </c>
      <c r="M10" s="227">
        <v>1</v>
      </c>
      <c r="N10" s="227">
        <v>12</v>
      </c>
      <c r="O10" s="227"/>
      <c r="P10" s="230"/>
      <c r="Q10" s="21"/>
      <c r="R10" s="277">
        <f t="shared" ref="R10" si="12">+SUM(S10:AE13)</f>
        <v>16.651145833333334</v>
      </c>
      <c r="S10" s="48">
        <f t="shared" si="2"/>
        <v>0.10333333333333335</v>
      </c>
      <c r="T10" s="49">
        <f t="shared" si="3"/>
        <v>1.6191666666666666</v>
      </c>
      <c r="U10" s="49">
        <f t="shared" si="4"/>
        <v>0.16666666666666669</v>
      </c>
      <c r="V10" s="49">
        <f t="shared" si="5"/>
        <v>0.10062500000000001</v>
      </c>
      <c r="W10" s="49">
        <f t="shared" si="6"/>
        <v>1.3750000000000002E-2</v>
      </c>
      <c r="X10" s="49" t="str">
        <f t="shared" si="7"/>
        <v>N/A</v>
      </c>
      <c r="Y10" s="49">
        <f t="shared" si="8"/>
        <v>6.165</v>
      </c>
      <c r="Z10" s="49">
        <f t="shared" si="9"/>
        <v>0.45041666666666663</v>
      </c>
      <c r="AA10" s="227">
        <f>+IFERROR((L10*AP10)/$BK$2/$BK$3,"N/A")</f>
        <v>1.2890625</v>
      </c>
      <c r="AB10" s="227">
        <f>+IFERROR((M10*AQ10)/$BK$2/$BK$3,"N/A")</f>
        <v>0.05</v>
      </c>
      <c r="AC10" s="227">
        <f>+IFERROR((N10*AR10)/$BK$2/$BK$3,"N/A")</f>
        <v>0.05</v>
      </c>
      <c r="AD10" s="227">
        <f>+IFERROR((O10*AS10)/$BK$2/$BK$3,"N/A")</f>
        <v>0</v>
      </c>
      <c r="AE10" s="230">
        <f>+IFERROR((P10*AT10)/$BK$2/$BK$3,"N/A")</f>
        <v>0</v>
      </c>
      <c r="AF10" s="21"/>
      <c r="AG10" s="268" cm="1">
        <f t="array" ref="AG10">SUMPRODUCT(IFERROR(AH10:AO13,0),IFERROR(AV10:BC13,0)) + SUMPRODUCT(IFERROR(AP10:AT10,0),IFERROR(BD10:BH10,0))</f>
        <v>61.433897002305912</v>
      </c>
      <c r="AH10" s="32">
        <v>62</v>
      </c>
      <c r="AI10" s="33">
        <v>67</v>
      </c>
      <c r="AJ10" s="33">
        <v>8</v>
      </c>
      <c r="AK10" s="33">
        <v>42</v>
      </c>
      <c r="AL10" s="33">
        <v>44</v>
      </c>
      <c r="AM10" s="33">
        <v>29</v>
      </c>
      <c r="AN10" s="33">
        <v>54</v>
      </c>
      <c r="AO10" s="33">
        <v>94</v>
      </c>
      <c r="AP10" s="227">
        <v>225</v>
      </c>
      <c r="AQ10" s="227">
        <v>480</v>
      </c>
      <c r="AR10" s="227">
        <v>40</v>
      </c>
      <c r="AS10" s="227">
        <v>30</v>
      </c>
      <c r="AT10" s="230">
        <v>35</v>
      </c>
      <c r="AV10" s="38">
        <f t="shared" ref="AV10:BH10" si="13">+IFERROR(D10/$B$10,"N/A")</f>
        <v>6.1491160645657187E-3</v>
      </c>
      <c r="AW10" s="39">
        <f t="shared" si="13"/>
        <v>8.9162182936202927E-2</v>
      </c>
      <c r="AX10" s="39">
        <f t="shared" si="13"/>
        <v>7.6863950807071479E-2</v>
      </c>
      <c r="AY10" s="39">
        <f t="shared" si="13"/>
        <v>8.8393543428132212E-3</v>
      </c>
      <c r="AZ10" s="39">
        <f t="shared" si="13"/>
        <v>1.1529592621060721E-3</v>
      </c>
      <c r="BA10" s="39" t="str">
        <f t="shared" si="13"/>
        <v>N/A</v>
      </c>
      <c r="BB10" s="39">
        <f t="shared" si="13"/>
        <v>0.42121445042275174</v>
      </c>
      <c r="BC10" s="39">
        <f t="shared" si="13"/>
        <v>1.7678708685626442E-2</v>
      </c>
      <c r="BD10" s="262">
        <f t="shared" si="13"/>
        <v>2.1137586471944657E-2</v>
      </c>
      <c r="BE10" s="262">
        <f t="shared" si="13"/>
        <v>3.8431975403535742E-4</v>
      </c>
      <c r="BF10" s="262">
        <f t="shared" si="13"/>
        <v>4.6118370484242886E-3</v>
      </c>
      <c r="BG10" s="262">
        <f t="shared" si="13"/>
        <v>0</v>
      </c>
      <c r="BH10" s="265">
        <f t="shared" si="13"/>
        <v>0</v>
      </c>
      <c r="BI10" s="21"/>
    </row>
    <row r="11" spans="1:63">
      <c r="A11" s="245"/>
      <c r="B11" s="278"/>
      <c r="C11" s="55" t="s">
        <v>37</v>
      </c>
      <c r="D11" s="46">
        <v>3</v>
      </c>
      <c r="E11" s="30">
        <v>0</v>
      </c>
      <c r="F11" s="30" t="s">
        <v>36</v>
      </c>
      <c r="G11" s="30">
        <v>14</v>
      </c>
      <c r="H11" s="30">
        <v>0</v>
      </c>
      <c r="I11" s="30" t="s">
        <v>36</v>
      </c>
      <c r="J11" s="30">
        <v>116</v>
      </c>
      <c r="K11" s="30">
        <v>4</v>
      </c>
      <c r="L11" s="228"/>
      <c r="M11" s="228"/>
      <c r="N11" s="228"/>
      <c r="O11" s="228"/>
      <c r="P11" s="231"/>
      <c r="Q11" s="21"/>
      <c r="R11" s="278"/>
      <c r="S11" s="50">
        <f t="shared" si="2"/>
        <v>2.8125000000000001E-2</v>
      </c>
      <c r="T11" s="51">
        <f t="shared" si="3"/>
        <v>0</v>
      </c>
      <c r="U11" s="51" t="str">
        <f t="shared" si="4"/>
        <v>N/A</v>
      </c>
      <c r="V11" s="51">
        <f t="shared" si="5"/>
        <v>6.1250000000000006E-2</v>
      </c>
      <c r="W11" s="51">
        <f t="shared" si="6"/>
        <v>0</v>
      </c>
      <c r="X11" s="51" t="str">
        <f t="shared" si="7"/>
        <v>N/A</v>
      </c>
      <c r="Y11" s="51">
        <f t="shared" si="8"/>
        <v>0.65250000000000008</v>
      </c>
      <c r="Z11" s="51">
        <f t="shared" si="9"/>
        <v>3.9166666666666669E-2</v>
      </c>
      <c r="AA11" s="228"/>
      <c r="AB11" s="228"/>
      <c r="AC11" s="228"/>
      <c r="AD11" s="228"/>
      <c r="AE11" s="231"/>
      <c r="AF11" s="21"/>
      <c r="AG11" s="269"/>
      <c r="AH11" s="35">
        <v>90</v>
      </c>
      <c r="AI11" s="6">
        <v>54</v>
      </c>
      <c r="AJ11" s="30">
        <v>8</v>
      </c>
      <c r="AK11" s="6">
        <v>42</v>
      </c>
      <c r="AL11" s="6">
        <v>44</v>
      </c>
      <c r="AM11" s="6">
        <v>29</v>
      </c>
      <c r="AN11" s="6">
        <v>54</v>
      </c>
      <c r="AO11" s="6">
        <v>94</v>
      </c>
      <c r="AP11" s="228"/>
      <c r="AQ11" s="228"/>
      <c r="AR11" s="228"/>
      <c r="AS11" s="228"/>
      <c r="AT11" s="231"/>
      <c r="AV11" s="40">
        <f t="shared" ref="AV11:BC13" si="14">+IFERROR(D11/$B$10,"N/A")</f>
        <v>1.1529592621060721E-3</v>
      </c>
      <c r="AW11" s="41">
        <f t="shared" si="14"/>
        <v>0</v>
      </c>
      <c r="AX11" s="41" t="str">
        <f t="shared" si="14"/>
        <v>N/A</v>
      </c>
      <c r="AY11" s="41">
        <f t="shared" si="14"/>
        <v>5.3804765564950041E-3</v>
      </c>
      <c r="AZ11" s="41">
        <f t="shared" si="14"/>
        <v>0</v>
      </c>
      <c r="BA11" s="41" t="str">
        <f t="shared" si="14"/>
        <v>N/A</v>
      </c>
      <c r="BB11" s="41">
        <f t="shared" si="14"/>
        <v>4.4581091468101464E-2</v>
      </c>
      <c r="BC11" s="41">
        <f t="shared" si="14"/>
        <v>1.5372790161414297E-3</v>
      </c>
      <c r="BD11" s="263"/>
      <c r="BE11" s="263"/>
      <c r="BF11" s="263"/>
      <c r="BG11" s="263"/>
      <c r="BH11" s="266"/>
      <c r="BI11" s="21"/>
    </row>
    <row r="12" spans="1:63">
      <c r="A12" s="245"/>
      <c r="B12" s="278"/>
      <c r="C12" s="55" t="s">
        <v>38</v>
      </c>
      <c r="D12" s="46">
        <v>22</v>
      </c>
      <c r="E12" s="30" t="s">
        <v>36</v>
      </c>
      <c r="F12" s="30" t="s">
        <v>36</v>
      </c>
      <c r="G12" s="30">
        <v>46</v>
      </c>
      <c r="H12" s="30">
        <v>3</v>
      </c>
      <c r="I12" s="30">
        <v>4</v>
      </c>
      <c r="J12" s="30">
        <v>298</v>
      </c>
      <c r="K12" s="30">
        <v>344</v>
      </c>
      <c r="L12" s="228"/>
      <c r="M12" s="228"/>
      <c r="N12" s="228"/>
      <c r="O12" s="228"/>
      <c r="P12" s="231"/>
      <c r="Q12" s="21"/>
      <c r="R12" s="278"/>
      <c r="S12" s="50">
        <f t="shared" si="2"/>
        <v>0.20624999999999999</v>
      </c>
      <c r="T12" s="51" t="str">
        <f t="shared" si="3"/>
        <v>N/A</v>
      </c>
      <c r="U12" s="51" t="str">
        <f t="shared" si="4"/>
        <v>N/A</v>
      </c>
      <c r="V12" s="51">
        <f t="shared" si="5"/>
        <v>0.22041666666666665</v>
      </c>
      <c r="W12" s="51">
        <f t="shared" si="6"/>
        <v>1.3750000000000002E-2</v>
      </c>
      <c r="X12" s="51">
        <f t="shared" si="7"/>
        <v>1.2083333333333333E-2</v>
      </c>
      <c r="Y12" s="51">
        <f t="shared" si="8"/>
        <v>1.67625</v>
      </c>
      <c r="Z12" s="51">
        <f t="shared" si="9"/>
        <v>3.3683333333333332</v>
      </c>
      <c r="AA12" s="228"/>
      <c r="AB12" s="228"/>
      <c r="AC12" s="228"/>
      <c r="AD12" s="228"/>
      <c r="AE12" s="231"/>
      <c r="AG12" s="269"/>
      <c r="AH12" s="35">
        <v>90</v>
      </c>
      <c r="AI12" s="6">
        <v>29</v>
      </c>
      <c r="AJ12" s="30">
        <v>8</v>
      </c>
      <c r="AK12" s="6">
        <v>46</v>
      </c>
      <c r="AL12" s="6">
        <v>44</v>
      </c>
      <c r="AM12" s="6">
        <v>29</v>
      </c>
      <c r="AN12" s="6">
        <v>54</v>
      </c>
      <c r="AO12" s="6">
        <v>94</v>
      </c>
      <c r="AP12" s="228"/>
      <c r="AQ12" s="228"/>
      <c r="AR12" s="228"/>
      <c r="AS12" s="228"/>
      <c r="AT12" s="231"/>
      <c r="AV12" s="40">
        <f t="shared" si="14"/>
        <v>8.4550345887778634E-3</v>
      </c>
      <c r="AW12" s="41" t="str">
        <f t="shared" si="14"/>
        <v>N/A</v>
      </c>
      <c r="AX12" s="41" t="str">
        <f t="shared" si="14"/>
        <v>N/A</v>
      </c>
      <c r="AY12" s="41">
        <f t="shared" si="14"/>
        <v>1.7678708685626442E-2</v>
      </c>
      <c r="AZ12" s="41">
        <f t="shared" si="14"/>
        <v>1.1529592621060721E-3</v>
      </c>
      <c r="BA12" s="41">
        <f t="shared" si="14"/>
        <v>1.5372790161414297E-3</v>
      </c>
      <c r="BB12" s="41">
        <f t="shared" si="14"/>
        <v>0.11452728670253651</v>
      </c>
      <c r="BC12" s="41">
        <f t="shared" si="14"/>
        <v>0.13220599538816294</v>
      </c>
      <c r="BD12" s="263"/>
      <c r="BE12" s="263"/>
      <c r="BF12" s="263"/>
      <c r="BG12" s="263"/>
      <c r="BH12" s="266"/>
    </row>
    <row r="13" spans="1:63" ht="15" thickBot="1">
      <c r="A13" s="246"/>
      <c r="B13" s="279"/>
      <c r="C13" s="56" t="s">
        <v>39</v>
      </c>
      <c r="D13" s="47">
        <v>0</v>
      </c>
      <c r="E13" s="31" t="s">
        <v>36</v>
      </c>
      <c r="F13" s="31" t="s">
        <v>36</v>
      </c>
      <c r="G13" s="31">
        <v>4</v>
      </c>
      <c r="H13" s="31">
        <v>0</v>
      </c>
      <c r="I13" s="31" t="s">
        <v>36</v>
      </c>
      <c r="J13" s="31">
        <v>58</v>
      </c>
      <c r="K13" s="31">
        <v>2</v>
      </c>
      <c r="L13" s="229"/>
      <c r="M13" s="229"/>
      <c r="N13" s="229"/>
      <c r="O13" s="229"/>
      <c r="P13" s="232"/>
      <c r="Q13" s="21"/>
      <c r="R13" s="279"/>
      <c r="S13" s="52">
        <f t="shared" si="2"/>
        <v>0</v>
      </c>
      <c r="T13" s="53" t="str">
        <f t="shared" si="3"/>
        <v>N/A</v>
      </c>
      <c r="U13" s="53" t="str">
        <f t="shared" si="4"/>
        <v>N/A</v>
      </c>
      <c r="V13" s="53">
        <f t="shared" si="5"/>
        <v>1.9166666666666669E-2</v>
      </c>
      <c r="W13" s="53">
        <f t="shared" si="6"/>
        <v>0</v>
      </c>
      <c r="X13" s="53" t="str">
        <f t="shared" si="7"/>
        <v>N/A</v>
      </c>
      <c r="Y13" s="53">
        <f t="shared" si="8"/>
        <v>0.32625000000000004</v>
      </c>
      <c r="Z13" s="53">
        <f t="shared" si="9"/>
        <v>1.9583333333333335E-2</v>
      </c>
      <c r="AA13" s="229"/>
      <c r="AB13" s="229"/>
      <c r="AC13" s="229"/>
      <c r="AD13" s="229"/>
      <c r="AE13" s="232"/>
      <c r="AG13" s="270"/>
      <c r="AH13" s="35">
        <v>90</v>
      </c>
      <c r="AI13" s="6">
        <v>29</v>
      </c>
      <c r="AJ13" s="30">
        <v>8</v>
      </c>
      <c r="AK13" s="6">
        <v>46</v>
      </c>
      <c r="AL13" s="6">
        <v>44</v>
      </c>
      <c r="AM13" s="6">
        <v>29</v>
      </c>
      <c r="AN13" s="6">
        <v>54</v>
      </c>
      <c r="AO13" s="6">
        <v>94</v>
      </c>
      <c r="AP13" s="229"/>
      <c r="AQ13" s="229"/>
      <c r="AR13" s="229"/>
      <c r="AS13" s="229"/>
      <c r="AT13" s="232"/>
      <c r="AV13" s="42">
        <f t="shared" si="14"/>
        <v>0</v>
      </c>
      <c r="AW13" s="43" t="str">
        <f t="shared" si="14"/>
        <v>N/A</v>
      </c>
      <c r="AX13" s="43" t="str">
        <f t="shared" si="14"/>
        <v>N/A</v>
      </c>
      <c r="AY13" s="43">
        <f t="shared" si="14"/>
        <v>1.5372790161414297E-3</v>
      </c>
      <c r="AZ13" s="43">
        <f t="shared" si="14"/>
        <v>0</v>
      </c>
      <c r="BA13" s="43" t="str">
        <f t="shared" si="14"/>
        <v>N/A</v>
      </c>
      <c r="BB13" s="43">
        <f t="shared" si="14"/>
        <v>2.2290545734050732E-2</v>
      </c>
      <c r="BC13" s="43">
        <f t="shared" si="14"/>
        <v>7.6863950807071484E-4</v>
      </c>
      <c r="BD13" s="264"/>
      <c r="BE13" s="264"/>
      <c r="BF13" s="264"/>
      <c r="BG13" s="264"/>
      <c r="BH13" s="267"/>
    </row>
    <row r="14" spans="1:63">
      <c r="A14" s="244">
        <v>45962</v>
      </c>
      <c r="B14" s="277">
        <f t="shared" ref="B14" si="15">+SUM(D14:P17)</f>
        <v>2746</v>
      </c>
      <c r="C14" s="54" t="s">
        <v>35</v>
      </c>
      <c r="D14" s="44">
        <v>7</v>
      </c>
      <c r="E14" s="45">
        <v>245</v>
      </c>
      <c r="F14" s="45">
        <f>10*20</f>
        <v>200</v>
      </c>
      <c r="G14" s="45">
        <v>13</v>
      </c>
      <c r="H14" s="45">
        <v>4</v>
      </c>
      <c r="I14" s="45" t="s">
        <v>36</v>
      </c>
      <c r="J14" s="45">
        <v>793</v>
      </c>
      <c r="K14" s="45">
        <v>22</v>
      </c>
      <c r="L14" s="227">
        <v>33</v>
      </c>
      <c r="M14" s="227">
        <v>1</v>
      </c>
      <c r="N14" s="227">
        <v>12</v>
      </c>
      <c r="O14" s="227"/>
      <c r="P14" s="230"/>
      <c r="Q14" s="21"/>
      <c r="R14" s="277">
        <f t="shared" ref="R14" si="16">+SUM(S14:AE17)</f>
        <v>16.926458333333336</v>
      </c>
      <c r="S14" s="48">
        <f t="shared" si="2"/>
        <v>4.5208333333333336E-2</v>
      </c>
      <c r="T14" s="49">
        <f t="shared" si="3"/>
        <v>1.7098958333333332</v>
      </c>
      <c r="U14" s="49">
        <f t="shared" si="4"/>
        <v>0.16666666666666669</v>
      </c>
      <c r="V14" s="49">
        <f t="shared" si="5"/>
        <v>5.6874999999999995E-2</v>
      </c>
      <c r="W14" s="49">
        <f t="shared" si="6"/>
        <v>1.8333333333333333E-2</v>
      </c>
      <c r="X14" s="49" t="str">
        <f t="shared" si="7"/>
        <v>N/A</v>
      </c>
      <c r="Y14" s="49">
        <f t="shared" si="8"/>
        <v>4.4606250000000003</v>
      </c>
      <c r="Z14" s="49">
        <f t="shared" si="9"/>
        <v>0.21541666666666667</v>
      </c>
      <c r="AA14" s="227">
        <f>+IFERROR((L14*AP14)/$BK$2/$BK$3,"N/A")</f>
        <v>0.7734375</v>
      </c>
      <c r="AB14" s="227">
        <f>+IFERROR((M14*AQ14)/$BK$2/$BK$3,"N/A")</f>
        <v>0.05</v>
      </c>
      <c r="AC14" s="227">
        <f>+IFERROR((N14*AR14)/$BK$2/$BK$3,"N/A")</f>
        <v>0.05</v>
      </c>
      <c r="AD14" s="227">
        <f>+IFERROR((O14*AS14)/$BK$2/$BK$3,"N/A")</f>
        <v>0</v>
      </c>
      <c r="AE14" s="230">
        <f>+IFERROR((P14*AT14)/$BK$2/$BK$3,"N/A")</f>
        <v>0</v>
      </c>
      <c r="AG14" s="268" cm="1">
        <f t="array" ref="AG14">SUMPRODUCT(IFERROR(AH14:AO17,0),IFERROR(AV14:BC17,0)) + SUMPRODUCT(IFERROR(AP14:AT14,0),IFERROR(BD14:BH14,0))</f>
        <v>59.174799708667152</v>
      </c>
      <c r="AH14" s="32">
        <v>62</v>
      </c>
      <c r="AI14" s="33">
        <v>67</v>
      </c>
      <c r="AJ14" s="33">
        <v>8</v>
      </c>
      <c r="AK14" s="33">
        <v>42</v>
      </c>
      <c r="AL14" s="33">
        <v>44</v>
      </c>
      <c r="AM14" s="33">
        <v>29</v>
      </c>
      <c r="AN14" s="33">
        <v>54</v>
      </c>
      <c r="AO14" s="33">
        <v>94</v>
      </c>
      <c r="AP14" s="227">
        <v>225</v>
      </c>
      <c r="AQ14" s="227">
        <v>480</v>
      </c>
      <c r="AR14" s="227">
        <v>40</v>
      </c>
      <c r="AS14" s="227">
        <v>30</v>
      </c>
      <c r="AT14" s="230">
        <v>35</v>
      </c>
      <c r="AV14" s="38">
        <f t="shared" ref="AV14:BH14" si="17">+IFERROR(D14/$B$14,"N/A")</f>
        <v>2.5491624180626364E-3</v>
      </c>
      <c r="AW14" s="39">
        <f t="shared" si="17"/>
        <v>8.9220684632192279E-2</v>
      </c>
      <c r="AX14" s="39">
        <f t="shared" si="17"/>
        <v>7.2833211944646759E-2</v>
      </c>
      <c r="AY14" s="39">
        <f t="shared" si="17"/>
        <v>4.7341587764020395E-3</v>
      </c>
      <c r="AZ14" s="39">
        <f t="shared" si="17"/>
        <v>1.4566642388929353E-3</v>
      </c>
      <c r="BA14" s="39" t="str">
        <f t="shared" si="17"/>
        <v>N/A</v>
      </c>
      <c r="BB14" s="39">
        <f t="shared" si="17"/>
        <v>0.2887836853605244</v>
      </c>
      <c r="BC14" s="39">
        <f t="shared" si="17"/>
        <v>8.0116533139111441E-3</v>
      </c>
      <c r="BD14" s="262">
        <f t="shared" si="17"/>
        <v>1.2017479970866714E-2</v>
      </c>
      <c r="BE14" s="262">
        <f t="shared" si="17"/>
        <v>3.6416605972323381E-4</v>
      </c>
      <c r="BF14" s="262">
        <f t="shared" si="17"/>
        <v>4.3699927166788053E-3</v>
      </c>
      <c r="BG14" s="262">
        <f t="shared" si="17"/>
        <v>0</v>
      </c>
      <c r="BH14" s="265">
        <f t="shared" si="17"/>
        <v>0</v>
      </c>
    </row>
    <row r="15" spans="1:63">
      <c r="A15" s="245"/>
      <c r="B15" s="278"/>
      <c r="C15" s="55" t="s">
        <v>37</v>
      </c>
      <c r="D15" s="46">
        <v>3</v>
      </c>
      <c r="E15" s="30">
        <v>0</v>
      </c>
      <c r="F15" s="30" t="s">
        <v>36</v>
      </c>
      <c r="G15" s="30">
        <v>9</v>
      </c>
      <c r="H15" s="30">
        <v>1</v>
      </c>
      <c r="I15" s="30" t="s">
        <v>36</v>
      </c>
      <c r="J15" s="30">
        <v>469</v>
      </c>
      <c r="K15" s="30">
        <v>14</v>
      </c>
      <c r="L15" s="228"/>
      <c r="M15" s="228"/>
      <c r="N15" s="228"/>
      <c r="O15" s="228"/>
      <c r="P15" s="231"/>
      <c r="Q15" s="21"/>
      <c r="R15" s="278"/>
      <c r="S15" s="50">
        <f t="shared" si="2"/>
        <v>2.8125000000000001E-2</v>
      </c>
      <c r="T15" s="51">
        <f t="shared" si="3"/>
        <v>0</v>
      </c>
      <c r="U15" s="51" t="str">
        <f t="shared" si="4"/>
        <v>N/A</v>
      </c>
      <c r="V15" s="51">
        <f t="shared" si="5"/>
        <v>3.9375E-2</v>
      </c>
      <c r="W15" s="51">
        <f t="shared" si="6"/>
        <v>4.5833333333333334E-3</v>
      </c>
      <c r="X15" s="51" t="str">
        <f t="shared" si="7"/>
        <v>N/A</v>
      </c>
      <c r="Y15" s="51">
        <f t="shared" si="8"/>
        <v>2.6381250000000001</v>
      </c>
      <c r="Z15" s="51">
        <f t="shared" si="9"/>
        <v>0.13708333333333333</v>
      </c>
      <c r="AA15" s="228"/>
      <c r="AB15" s="228"/>
      <c r="AC15" s="228"/>
      <c r="AD15" s="228"/>
      <c r="AE15" s="231"/>
      <c r="AG15" s="269"/>
      <c r="AH15" s="35">
        <v>90</v>
      </c>
      <c r="AI15" s="6">
        <v>54</v>
      </c>
      <c r="AJ15" s="30">
        <v>8</v>
      </c>
      <c r="AK15" s="6">
        <v>42</v>
      </c>
      <c r="AL15" s="6">
        <v>44</v>
      </c>
      <c r="AM15" s="6">
        <v>29</v>
      </c>
      <c r="AN15" s="6">
        <v>54</v>
      </c>
      <c r="AO15" s="6">
        <v>94</v>
      </c>
      <c r="AP15" s="228"/>
      <c r="AQ15" s="228"/>
      <c r="AR15" s="228"/>
      <c r="AS15" s="228"/>
      <c r="AT15" s="231"/>
      <c r="AV15" s="40">
        <f t="shared" ref="AV15:BC17" si="18">+IFERROR(D15/$B$14,"N/A")</f>
        <v>1.0924981791697013E-3</v>
      </c>
      <c r="AW15" s="41">
        <f t="shared" si="18"/>
        <v>0</v>
      </c>
      <c r="AX15" s="41" t="str">
        <f t="shared" si="18"/>
        <v>N/A</v>
      </c>
      <c r="AY15" s="41">
        <f t="shared" si="18"/>
        <v>3.2774945375091042E-3</v>
      </c>
      <c r="AZ15" s="41">
        <f t="shared" si="18"/>
        <v>3.6416605972323381E-4</v>
      </c>
      <c r="BA15" s="41" t="str">
        <f t="shared" si="18"/>
        <v>N/A</v>
      </c>
      <c r="BB15" s="41">
        <f t="shared" si="18"/>
        <v>0.17079388201019666</v>
      </c>
      <c r="BC15" s="41">
        <f t="shared" si="18"/>
        <v>5.0983248361252727E-3</v>
      </c>
      <c r="BD15" s="263"/>
      <c r="BE15" s="263"/>
      <c r="BF15" s="263"/>
      <c r="BG15" s="263"/>
      <c r="BH15" s="266"/>
    </row>
    <row r="16" spans="1:63">
      <c r="A16" s="245"/>
      <c r="B16" s="278"/>
      <c r="C16" s="55" t="s">
        <v>38</v>
      </c>
      <c r="D16" s="46">
        <v>7</v>
      </c>
      <c r="E16" s="30" t="s">
        <v>36</v>
      </c>
      <c r="F16" s="30" t="s">
        <v>36</v>
      </c>
      <c r="G16" s="30">
        <v>47</v>
      </c>
      <c r="H16" s="30">
        <v>6</v>
      </c>
      <c r="I16" s="30">
        <v>10</v>
      </c>
      <c r="J16" s="30">
        <v>495</v>
      </c>
      <c r="K16" s="30">
        <v>335</v>
      </c>
      <c r="L16" s="228"/>
      <c r="M16" s="228"/>
      <c r="N16" s="228"/>
      <c r="O16" s="228"/>
      <c r="P16" s="231"/>
      <c r="Q16" s="21"/>
      <c r="R16" s="278"/>
      <c r="S16" s="50">
        <f t="shared" si="2"/>
        <v>6.5625000000000003E-2</v>
      </c>
      <c r="T16" s="51" t="str">
        <f t="shared" si="3"/>
        <v>N/A</v>
      </c>
      <c r="U16" s="51" t="str">
        <f t="shared" si="4"/>
        <v>N/A</v>
      </c>
      <c r="V16" s="51">
        <f t="shared" si="5"/>
        <v>0.22520833333333332</v>
      </c>
      <c r="W16" s="51">
        <f t="shared" si="6"/>
        <v>2.7500000000000004E-2</v>
      </c>
      <c r="X16" s="51">
        <f t="shared" si="7"/>
        <v>3.020833333333333E-2</v>
      </c>
      <c r="Y16" s="51">
        <f t="shared" si="8"/>
        <v>2.7843749999999998</v>
      </c>
      <c r="Z16" s="51">
        <f t="shared" si="9"/>
        <v>3.2802083333333334</v>
      </c>
      <c r="AA16" s="228"/>
      <c r="AB16" s="228"/>
      <c r="AC16" s="228"/>
      <c r="AD16" s="228"/>
      <c r="AE16" s="231"/>
      <c r="AG16" s="269"/>
      <c r="AH16" s="35">
        <v>90</v>
      </c>
      <c r="AI16" s="6">
        <v>29</v>
      </c>
      <c r="AJ16" s="30">
        <v>8</v>
      </c>
      <c r="AK16" s="6">
        <v>46</v>
      </c>
      <c r="AL16" s="6">
        <v>44</v>
      </c>
      <c r="AM16" s="6">
        <v>29</v>
      </c>
      <c r="AN16" s="6">
        <v>54</v>
      </c>
      <c r="AO16" s="6">
        <v>94</v>
      </c>
      <c r="AP16" s="228"/>
      <c r="AQ16" s="228"/>
      <c r="AR16" s="228"/>
      <c r="AS16" s="228"/>
      <c r="AT16" s="231"/>
      <c r="AV16" s="40">
        <f t="shared" si="18"/>
        <v>2.5491624180626364E-3</v>
      </c>
      <c r="AW16" s="41" t="str">
        <f t="shared" si="18"/>
        <v>N/A</v>
      </c>
      <c r="AX16" s="41" t="str">
        <f t="shared" si="18"/>
        <v>N/A</v>
      </c>
      <c r="AY16" s="41">
        <f t="shared" si="18"/>
        <v>1.7115804806991989E-2</v>
      </c>
      <c r="AZ16" s="41">
        <f t="shared" si="18"/>
        <v>2.1849963583394027E-3</v>
      </c>
      <c r="BA16" s="41">
        <f t="shared" si="18"/>
        <v>3.6416605972323379E-3</v>
      </c>
      <c r="BB16" s="41">
        <f t="shared" si="18"/>
        <v>0.18026219956300074</v>
      </c>
      <c r="BC16" s="41">
        <f t="shared" si="18"/>
        <v>0.12199563000728332</v>
      </c>
      <c r="BD16" s="263"/>
      <c r="BE16" s="263"/>
      <c r="BF16" s="263"/>
      <c r="BG16" s="263"/>
      <c r="BH16" s="266"/>
    </row>
    <row r="17" spans="1:60" ht="15" thickBot="1">
      <c r="A17" s="246"/>
      <c r="B17" s="279"/>
      <c r="C17" s="56" t="s">
        <v>39</v>
      </c>
      <c r="D17" s="47">
        <v>3</v>
      </c>
      <c r="E17" s="31" t="s">
        <v>36</v>
      </c>
      <c r="F17" s="31" t="s">
        <v>36</v>
      </c>
      <c r="G17" s="31">
        <v>0</v>
      </c>
      <c r="H17" s="31">
        <v>4</v>
      </c>
      <c r="I17" s="31" t="s">
        <v>36</v>
      </c>
      <c r="J17" s="31">
        <v>13</v>
      </c>
      <c r="K17" s="31">
        <v>0</v>
      </c>
      <c r="L17" s="229"/>
      <c r="M17" s="229"/>
      <c r="N17" s="229"/>
      <c r="O17" s="229"/>
      <c r="P17" s="232"/>
      <c r="Q17" s="21"/>
      <c r="R17" s="279"/>
      <c r="S17" s="52">
        <f t="shared" si="2"/>
        <v>2.8125000000000001E-2</v>
      </c>
      <c r="T17" s="53" t="str">
        <f t="shared" si="3"/>
        <v>N/A</v>
      </c>
      <c r="U17" s="53" t="str">
        <f t="shared" si="4"/>
        <v>N/A</v>
      </c>
      <c r="V17" s="53">
        <f t="shared" si="5"/>
        <v>0</v>
      </c>
      <c r="W17" s="53">
        <f t="shared" si="6"/>
        <v>1.8333333333333333E-2</v>
      </c>
      <c r="X17" s="53" t="str">
        <f t="shared" si="7"/>
        <v>N/A</v>
      </c>
      <c r="Y17" s="53">
        <f t="shared" si="8"/>
        <v>7.3124999999999996E-2</v>
      </c>
      <c r="Z17" s="53">
        <f t="shared" si="9"/>
        <v>0</v>
      </c>
      <c r="AA17" s="229"/>
      <c r="AB17" s="229"/>
      <c r="AC17" s="229"/>
      <c r="AD17" s="229"/>
      <c r="AE17" s="232"/>
      <c r="AG17" s="270"/>
      <c r="AH17" s="35">
        <v>90</v>
      </c>
      <c r="AI17" s="6">
        <v>29</v>
      </c>
      <c r="AJ17" s="30">
        <v>8</v>
      </c>
      <c r="AK17" s="6">
        <v>46</v>
      </c>
      <c r="AL17" s="6">
        <v>44</v>
      </c>
      <c r="AM17" s="6">
        <v>29</v>
      </c>
      <c r="AN17" s="6">
        <v>54</v>
      </c>
      <c r="AO17" s="6">
        <v>94</v>
      </c>
      <c r="AP17" s="229"/>
      <c r="AQ17" s="229"/>
      <c r="AR17" s="229"/>
      <c r="AS17" s="229"/>
      <c r="AT17" s="232"/>
      <c r="AV17" s="42">
        <f t="shared" si="18"/>
        <v>1.0924981791697013E-3</v>
      </c>
      <c r="AW17" s="43" t="str">
        <f t="shared" si="18"/>
        <v>N/A</v>
      </c>
      <c r="AX17" s="43" t="str">
        <f t="shared" si="18"/>
        <v>N/A</v>
      </c>
      <c r="AY17" s="43">
        <f t="shared" si="18"/>
        <v>0</v>
      </c>
      <c r="AZ17" s="43">
        <f t="shared" si="18"/>
        <v>1.4566642388929353E-3</v>
      </c>
      <c r="BA17" s="43" t="str">
        <f t="shared" si="18"/>
        <v>N/A</v>
      </c>
      <c r="BB17" s="43">
        <f t="shared" si="18"/>
        <v>4.7341587764020395E-3</v>
      </c>
      <c r="BC17" s="43">
        <f t="shared" si="18"/>
        <v>0</v>
      </c>
      <c r="BD17" s="264"/>
      <c r="BE17" s="264"/>
      <c r="BF17" s="264"/>
      <c r="BG17" s="264"/>
      <c r="BH17" s="267"/>
    </row>
    <row r="18" spans="1:60">
      <c r="A18" s="244">
        <v>45992</v>
      </c>
      <c r="B18" s="277">
        <f t="shared" ref="B18" si="19">+SUM(D18:P21)</f>
        <v>2288</v>
      </c>
      <c r="C18" s="54" t="s">
        <v>35</v>
      </c>
      <c r="D18" s="44">
        <v>16</v>
      </c>
      <c r="E18" s="45">
        <v>124</v>
      </c>
      <c r="F18" s="45">
        <f>10*20</f>
        <v>200</v>
      </c>
      <c r="G18" s="45">
        <v>13</v>
      </c>
      <c r="H18" s="45">
        <v>5</v>
      </c>
      <c r="I18" s="45" t="s">
        <v>36</v>
      </c>
      <c r="J18" s="45">
        <v>840</v>
      </c>
      <c r="K18" s="45">
        <v>70</v>
      </c>
      <c r="L18" s="227">
        <v>21</v>
      </c>
      <c r="M18" s="227">
        <v>1</v>
      </c>
      <c r="N18" s="227">
        <v>12</v>
      </c>
      <c r="O18" s="227"/>
      <c r="P18" s="230"/>
      <c r="Q18" s="21"/>
      <c r="R18" s="277">
        <f t="shared" ref="R18" si="20">+SUM(S18:AE21)</f>
        <v>13.620520833333334</v>
      </c>
      <c r="S18" s="48">
        <f t="shared" si="2"/>
        <v>0.10333333333333335</v>
      </c>
      <c r="T18" s="49">
        <f t="shared" si="3"/>
        <v>0.86541666666666672</v>
      </c>
      <c r="U18" s="49">
        <f t="shared" si="4"/>
        <v>0.16666666666666669</v>
      </c>
      <c r="V18" s="49">
        <f t="shared" si="5"/>
        <v>5.6874999999999995E-2</v>
      </c>
      <c r="W18" s="49">
        <f t="shared" si="6"/>
        <v>2.2916666666666665E-2</v>
      </c>
      <c r="X18" s="49" t="str">
        <f t="shared" si="7"/>
        <v>N/A</v>
      </c>
      <c r="Y18" s="49">
        <f t="shared" si="8"/>
        <v>4.7249999999999996</v>
      </c>
      <c r="Z18" s="49">
        <f t="shared" si="9"/>
        <v>0.68541666666666667</v>
      </c>
      <c r="AA18" s="227">
        <f>+IFERROR((L18*AP18)/$BK$2/$BK$3,"N/A")</f>
        <v>0.4921875</v>
      </c>
      <c r="AB18" s="227">
        <f>+IFERROR((M18*AQ18)/$BK$2/$BK$3,"N/A")</f>
        <v>0.05</v>
      </c>
      <c r="AC18" s="227">
        <f>+IFERROR((N18*AR18)/$BK$2/$BK$3,"N/A")</f>
        <v>0.05</v>
      </c>
      <c r="AD18" s="227">
        <f>+IFERROR((O18*AS18)/$BK$2/$BK$3,"N/A")</f>
        <v>0</v>
      </c>
      <c r="AE18" s="230">
        <f>+IFERROR((P18*AT18)/$BK$2/$BK$3,"N/A")</f>
        <v>0</v>
      </c>
      <c r="AG18" s="268" cm="1">
        <f t="array" ref="AG18">SUMPRODUCT(IFERROR(AH18:AO21,0),IFERROR(AV18:BC21,0)) + SUMPRODUCT(IFERROR(AP18:AT18,0),IFERROR(BD18:BH18,0))</f>
        <v>57.149038461538453</v>
      </c>
      <c r="AH18" s="33">
        <v>62</v>
      </c>
      <c r="AI18" s="33">
        <v>67</v>
      </c>
      <c r="AJ18" s="33">
        <v>8</v>
      </c>
      <c r="AK18" s="33">
        <v>42</v>
      </c>
      <c r="AL18" s="33">
        <v>44</v>
      </c>
      <c r="AM18" s="33">
        <v>29</v>
      </c>
      <c r="AN18" s="33">
        <v>54</v>
      </c>
      <c r="AO18" s="33">
        <v>94</v>
      </c>
      <c r="AP18" s="227">
        <v>225</v>
      </c>
      <c r="AQ18" s="227">
        <v>480</v>
      </c>
      <c r="AR18" s="227">
        <v>40</v>
      </c>
      <c r="AS18" s="227">
        <v>30</v>
      </c>
      <c r="AT18" s="230">
        <v>35</v>
      </c>
      <c r="AV18" s="38">
        <f t="shared" ref="AV18:BH18" si="21">+IFERROR(D18/$B$18,"N/A")</f>
        <v>6.993006993006993E-3</v>
      </c>
      <c r="AW18" s="39">
        <f t="shared" si="21"/>
        <v>5.4195804195804193E-2</v>
      </c>
      <c r="AX18" s="39">
        <f t="shared" si="21"/>
        <v>8.7412587412587409E-2</v>
      </c>
      <c r="AY18" s="39">
        <f t="shared" si="21"/>
        <v>5.681818181818182E-3</v>
      </c>
      <c r="AZ18" s="39">
        <f t="shared" si="21"/>
        <v>2.1853146853146855E-3</v>
      </c>
      <c r="BA18" s="39" t="str">
        <f t="shared" si="21"/>
        <v>N/A</v>
      </c>
      <c r="BB18" s="39">
        <f t="shared" si="21"/>
        <v>0.36713286713286714</v>
      </c>
      <c r="BC18" s="39">
        <f t="shared" si="21"/>
        <v>3.0594405594405596E-2</v>
      </c>
      <c r="BD18" s="262">
        <f t="shared" si="21"/>
        <v>9.178321678321678E-3</v>
      </c>
      <c r="BE18" s="262">
        <f t="shared" si="21"/>
        <v>4.3706293706293706E-4</v>
      </c>
      <c r="BF18" s="262">
        <f t="shared" si="21"/>
        <v>5.244755244755245E-3</v>
      </c>
      <c r="BG18" s="262">
        <f t="shared" si="21"/>
        <v>0</v>
      </c>
      <c r="BH18" s="265">
        <f t="shared" si="21"/>
        <v>0</v>
      </c>
    </row>
    <row r="19" spans="1:60">
      <c r="A19" s="245"/>
      <c r="B19" s="278"/>
      <c r="C19" s="55" t="s">
        <v>37</v>
      </c>
      <c r="D19" s="46">
        <v>2</v>
      </c>
      <c r="E19" s="30">
        <v>2</v>
      </c>
      <c r="F19" s="30" t="s">
        <v>36</v>
      </c>
      <c r="G19" s="30">
        <v>20</v>
      </c>
      <c r="H19" s="30">
        <v>1</v>
      </c>
      <c r="I19" s="30" t="s">
        <v>36</v>
      </c>
      <c r="J19" s="30">
        <v>328</v>
      </c>
      <c r="K19" s="30">
        <v>18</v>
      </c>
      <c r="L19" s="228"/>
      <c r="M19" s="228"/>
      <c r="N19" s="228"/>
      <c r="O19" s="228"/>
      <c r="P19" s="231"/>
      <c r="Q19" s="21"/>
      <c r="R19" s="278"/>
      <c r="S19" s="50">
        <f t="shared" si="2"/>
        <v>1.8749999999999999E-2</v>
      </c>
      <c r="T19" s="51">
        <f t="shared" si="3"/>
        <v>1.125E-2</v>
      </c>
      <c r="U19" s="51" t="str">
        <f t="shared" si="4"/>
        <v>N/A</v>
      </c>
      <c r="V19" s="51">
        <f t="shared" si="5"/>
        <v>8.7499999999999994E-2</v>
      </c>
      <c r="W19" s="51">
        <f t="shared" si="6"/>
        <v>4.5833333333333334E-3</v>
      </c>
      <c r="X19" s="51" t="str">
        <f t="shared" si="7"/>
        <v>N/A</v>
      </c>
      <c r="Y19" s="51">
        <f t="shared" si="8"/>
        <v>1.845</v>
      </c>
      <c r="Z19" s="51">
        <f t="shared" si="9"/>
        <v>0.17624999999999999</v>
      </c>
      <c r="AA19" s="228"/>
      <c r="AB19" s="228"/>
      <c r="AC19" s="228"/>
      <c r="AD19" s="228"/>
      <c r="AE19" s="231"/>
      <c r="AG19" s="269"/>
      <c r="AH19" s="6">
        <v>90</v>
      </c>
      <c r="AI19" s="6">
        <v>54</v>
      </c>
      <c r="AJ19" s="30">
        <v>8</v>
      </c>
      <c r="AK19" s="6">
        <v>42</v>
      </c>
      <c r="AL19" s="6">
        <v>44</v>
      </c>
      <c r="AM19" s="6">
        <v>29</v>
      </c>
      <c r="AN19" s="6">
        <v>54</v>
      </c>
      <c r="AO19" s="6">
        <v>94</v>
      </c>
      <c r="AP19" s="228"/>
      <c r="AQ19" s="228"/>
      <c r="AR19" s="228"/>
      <c r="AS19" s="228"/>
      <c r="AT19" s="231"/>
      <c r="AV19" s="40">
        <f t="shared" ref="AV19:BC21" si="22">+IFERROR(D19/$B$18,"N/A")</f>
        <v>8.7412587412587413E-4</v>
      </c>
      <c r="AW19" s="41">
        <f t="shared" si="22"/>
        <v>8.7412587412587413E-4</v>
      </c>
      <c r="AX19" s="41" t="str">
        <f t="shared" si="22"/>
        <v>N/A</v>
      </c>
      <c r="AY19" s="41">
        <f t="shared" si="22"/>
        <v>8.7412587412587419E-3</v>
      </c>
      <c r="AZ19" s="41">
        <f t="shared" si="22"/>
        <v>4.3706293706293706E-4</v>
      </c>
      <c r="BA19" s="41" t="str">
        <f t="shared" si="22"/>
        <v>N/A</v>
      </c>
      <c r="BB19" s="41">
        <f t="shared" si="22"/>
        <v>0.14335664335664336</v>
      </c>
      <c r="BC19" s="41">
        <f t="shared" si="22"/>
        <v>7.8671328671328679E-3</v>
      </c>
      <c r="BD19" s="263"/>
      <c r="BE19" s="263"/>
      <c r="BF19" s="263"/>
      <c r="BG19" s="263"/>
      <c r="BH19" s="266"/>
    </row>
    <row r="20" spans="1:60">
      <c r="A20" s="245"/>
      <c r="B20" s="278"/>
      <c r="C20" s="55" t="s">
        <v>38</v>
      </c>
      <c r="D20" s="46">
        <v>21</v>
      </c>
      <c r="E20" s="30" t="s">
        <v>36</v>
      </c>
      <c r="F20" s="30" t="s">
        <v>36</v>
      </c>
      <c r="G20" s="30">
        <v>65</v>
      </c>
      <c r="H20" s="30">
        <v>9</v>
      </c>
      <c r="I20" s="30">
        <v>10</v>
      </c>
      <c r="J20" s="30">
        <v>294</v>
      </c>
      <c r="K20" s="30">
        <v>194</v>
      </c>
      <c r="L20" s="228"/>
      <c r="M20" s="228"/>
      <c r="N20" s="228"/>
      <c r="O20" s="228"/>
      <c r="P20" s="231"/>
      <c r="Q20" s="21"/>
      <c r="R20" s="278"/>
      <c r="S20" s="50">
        <f t="shared" si="2"/>
        <v>0.19687499999999999</v>
      </c>
      <c r="T20" s="51" t="str">
        <f t="shared" si="3"/>
        <v>N/A</v>
      </c>
      <c r="U20" s="51" t="str">
        <f t="shared" si="4"/>
        <v>N/A</v>
      </c>
      <c r="V20" s="51">
        <f t="shared" si="5"/>
        <v>0.31145833333333334</v>
      </c>
      <c r="W20" s="51">
        <f t="shared" si="6"/>
        <v>4.1249999999999995E-2</v>
      </c>
      <c r="X20" s="51">
        <f t="shared" si="7"/>
        <v>3.020833333333333E-2</v>
      </c>
      <c r="Y20" s="51">
        <f t="shared" si="8"/>
        <v>1.6537500000000001</v>
      </c>
      <c r="Z20" s="51">
        <f t="shared" si="9"/>
        <v>1.8995833333333334</v>
      </c>
      <c r="AA20" s="228"/>
      <c r="AB20" s="228"/>
      <c r="AC20" s="228"/>
      <c r="AD20" s="228"/>
      <c r="AE20" s="231"/>
      <c r="AG20" s="269"/>
      <c r="AH20" s="6">
        <v>90</v>
      </c>
      <c r="AI20" s="6">
        <v>29</v>
      </c>
      <c r="AJ20" s="30">
        <v>8</v>
      </c>
      <c r="AK20" s="6">
        <v>46</v>
      </c>
      <c r="AL20" s="6">
        <v>44</v>
      </c>
      <c r="AM20" s="6">
        <v>29</v>
      </c>
      <c r="AN20" s="6">
        <v>54</v>
      </c>
      <c r="AO20" s="6">
        <v>94</v>
      </c>
      <c r="AP20" s="228"/>
      <c r="AQ20" s="228"/>
      <c r="AR20" s="228"/>
      <c r="AS20" s="228"/>
      <c r="AT20" s="231"/>
      <c r="AV20" s="40">
        <f t="shared" si="22"/>
        <v>9.178321678321678E-3</v>
      </c>
      <c r="AW20" s="41" t="str">
        <f t="shared" si="22"/>
        <v>N/A</v>
      </c>
      <c r="AX20" s="41" t="str">
        <f t="shared" si="22"/>
        <v>N/A</v>
      </c>
      <c r="AY20" s="41">
        <f t="shared" si="22"/>
        <v>2.8409090909090908E-2</v>
      </c>
      <c r="AZ20" s="41">
        <f t="shared" si="22"/>
        <v>3.9335664335664339E-3</v>
      </c>
      <c r="BA20" s="41">
        <f t="shared" si="22"/>
        <v>4.370629370629371E-3</v>
      </c>
      <c r="BB20" s="41">
        <f t="shared" si="22"/>
        <v>0.12849650349650349</v>
      </c>
      <c r="BC20" s="41">
        <f t="shared" si="22"/>
        <v>8.4790209790209792E-2</v>
      </c>
      <c r="BD20" s="263"/>
      <c r="BE20" s="263"/>
      <c r="BF20" s="263"/>
      <c r="BG20" s="263"/>
      <c r="BH20" s="266"/>
    </row>
    <row r="21" spans="1:60" ht="15" thickBot="1">
      <c r="A21" s="246"/>
      <c r="B21" s="279"/>
      <c r="C21" s="56" t="s">
        <v>39</v>
      </c>
      <c r="D21" s="47">
        <v>2</v>
      </c>
      <c r="E21" s="31" t="s">
        <v>36</v>
      </c>
      <c r="F21" s="31" t="s">
        <v>36</v>
      </c>
      <c r="G21" s="31">
        <v>11</v>
      </c>
      <c r="H21" s="31">
        <v>0</v>
      </c>
      <c r="I21" s="31" t="s">
        <v>36</v>
      </c>
      <c r="J21" s="31">
        <v>8</v>
      </c>
      <c r="K21" s="31">
        <v>1</v>
      </c>
      <c r="L21" s="229"/>
      <c r="M21" s="229"/>
      <c r="N21" s="229"/>
      <c r="O21" s="229"/>
      <c r="P21" s="232"/>
      <c r="Q21" s="21"/>
      <c r="R21" s="279"/>
      <c r="S21" s="52">
        <f t="shared" si="2"/>
        <v>1.8749999999999999E-2</v>
      </c>
      <c r="T21" s="53" t="str">
        <f t="shared" si="3"/>
        <v>N/A</v>
      </c>
      <c r="U21" s="53" t="str">
        <f t="shared" si="4"/>
        <v>N/A</v>
      </c>
      <c r="V21" s="53">
        <f t="shared" si="5"/>
        <v>5.2708333333333336E-2</v>
      </c>
      <c r="W21" s="53">
        <f t="shared" si="6"/>
        <v>0</v>
      </c>
      <c r="X21" s="53" t="str">
        <f t="shared" si="7"/>
        <v>N/A</v>
      </c>
      <c r="Y21" s="53">
        <f t="shared" si="8"/>
        <v>4.4999999999999998E-2</v>
      </c>
      <c r="Z21" s="53">
        <f t="shared" si="9"/>
        <v>9.7916666666666673E-3</v>
      </c>
      <c r="AA21" s="229"/>
      <c r="AB21" s="229"/>
      <c r="AC21" s="229"/>
      <c r="AD21" s="229"/>
      <c r="AE21" s="232"/>
      <c r="AG21" s="270"/>
      <c r="AH21" s="6">
        <v>90</v>
      </c>
      <c r="AI21" s="6">
        <v>29</v>
      </c>
      <c r="AJ21" s="30">
        <v>8</v>
      </c>
      <c r="AK21" s="6">
        <v>46</v>
      </c>
      <c r="AL21" s="6">
        <v>44</v>
      </c>
      <c r="AM21" s="6">
        <v>29</v>
      </c>
      <c r="AN21" s="6">
        <v>54</v>
      </c>
      <c r="AO21" s="6">
        <v>94</v>
      </c>
      <c r="AP21" s="229"/>
      <c r="AQ21" s="229"/>
      <c r="AR21" s="229"/>
      <c r="AS21" s="229"/>
      <c r="AT21" s="232"/>
      <c r="AV21" s="42">
        <f t="shared" si="22"/>
        <v>8.7412587412587413E-4</v>
      </c>
      <c r="AW21" s="43" t="str">
        <f t="shared" si="22"/>
        <v>N/A</v>
      </c>
      <c r="AX21" s="43" t="str">
        <f t="shared" si="22"/>
        <v>N/A</v>
      </c>
      <c r="AY21" s="43">
        <f t="shared" si="22"/>
        <v>4.807692307692308E-3</v>
      </c>
      <c r="AZ21" s="43">
        <f t="shared" si="22"/>
        <v>0</v>
      </c>
      <c r="BA21" s="43" t="str">
        <f t="shared" si="22"/>
        <v>N/A</v>
      </c>
      <c r="BB21" s="43">
        <f t="shared" si="22"/>
        <v>3.4965034965034965E-3</v>
      </c>
      <c r="BC21" s="43">
        <f t="shared" si="22"/>
        <v>4.3706293706293706E-4</v>
      </c>
      <c r="BD21" s="264"/>
      <c r="BE21" s="264"/>
      <c r="BF21" s="264"/>
      <c r="BG21" s="264"/>
      <c r="BH21" s="267"/>
    </row>
    <row r="22" spans="1:60">
      <c r="A22" s="244">
        <v>46023</v>
      </c>
      <c r="B22" s="277">
        <f t="shared" ref="B22" si="23">+SUM(D22:P25)</f>
        <v>1721</v>
      </c>
      <c r="C22" s="54" t="s">
        <v>35</v>
      </c>
      <c r="D22" s="44">
        <v>13</v>
      </c>
      <c r="E22" s="45">
        <v>171</v>
      </c>
      <c r="F22" s="45">
        <f>10*20</f>
        <v>200</v>
      </c>
      <c r="G22" s="45">
        <v>19</v>
      </c>
      <c r="H22" s="45">
        <v>5</v>
      </c>
      <c r="I22" s="45" t="s">
        <v>36</v>
      </c>
      <c r="J22" s="45">
        <v>702</v>
      </c>
      <c r="K22" s="45">
        <v>51</v>
      </c>
      <c r="L22" s="227">
        <v>57</v>
      </c>
      <c r="M22" s="227">
        <v>1</v>
      </c>
      <c r="N22" s="227">
        <v>12</v>
      </c>
      <c r="O22" s="227"/>
      <c r="P22" s="230"/>
      <c r="Q22" s="21"/>
      <c r="R22" s="277">
        <f t="shared" ref="R22" si="24">+SUM(S22:AE25)</f>
        <v>10.328541666666666</v>
      </c>
      <c r="S22" s="48">
        <f t="shared" si="2"/>
        <v>8.3958333333333329E-2</v>
      </c>
      <c r="T22" s="49">
        <f t="shared" si="3"/>
        <v>1.1934374999999999</v>
      </c>
      <c r="U22" s="49">
        <f t="shared" si="4"/>
        <v>0.16666666666666669</v>
      </c>
      <c r="V22" s="49">
        <f t="shared" si="5"/>
        <v>8.3125000000000004E-2</v>
      </c>
      <c r="W22" s="49">
        <f t="shared" si="6"/>
        <v>2.2916666666666665E-2</v>
      </c>
      <c r="X22" s="49" t="str">
        <f t="shared" si="7"/>
        <v>N/A</v>
      </c>
      <c r="Y22" s="49">
        <f t="shared" si="8"/>
        <v>3.9487499999999995</v>
      </c>
      <c r="Z22" s="49">
        <f t="shared" si="9"/>
        <v>0.49937500000000001</v>
      </c>
      <c r="AA22" s="227">
        <f>+IFERROR((L22*AP22)/$BK$2/$BK$3,"N/A")</f>
        <v>1.3359375</v>
      </c>
      <c r="AB22" s="227">
        <f>+IFERROR((M22*AQ22)/$BK$2/$BK$3,"N/A")</f>
        <v>0.05</v>
      </c>
      <c r="AC22" s="227">
        <f>+IFERROR((N22*AR22)/$BK$2/$BK$3,"N/A")</f>
        <v>0.05</v>
      </c>
      <c r="AD22" s="227">
        <f>+IFERROR((O22*AS22)/$BK$2/$BK$3,"N/A")</f>
        <v>0</v>
      </c>
      <c r="AE22" s="230">
        <f>+IFERROR((P22*AT22)/$BK$2/$BK$3,"N/A")</f>
        <v>0</v>
      </c>
      <c r="AG22" s="268" cm="1">
        <f t="array" ref="AG22">SUMPRODUCT(IFERROR(AH22:AO25,0),IFERROR(AV22:BC25,0)) + SUMPRODUCT(IFERROR(AP22:AT22,0),IFERROR(BD22:BH22,0))</f>
        <v>57.614177803602537</v>
      </c>
      <c r="AH22" s="33">
        <v>62</v>
      </c>
      <c r="AI22" s="33">
        <v>67</v>
      </c>
      <c r="AJ22" s="33">
        <v>8</v>
      </c>
      <c r="AK22" s="33">
        <v>42</v>
      </c>
      <c r="AL22" s="33">
        <v>44</v>
      </c>
      <c r="AM22" s="33">
        <v>29</v>
      </c>
      <c r="AN22" s="33">
        <v>54</v>
      </c>
      <c r="AO22" s="33">
        <v>94</v>
      </c>
      <c r="AP22" s="227">
        <v>225</v>
      </c>
      <c r="AQ22" s="227">
        <v>480</v>
      </c>
      <c r="AR22" s="227">
        <v>40</v>
      </c>
      <c r="AS22" s="227">
        <v>30</v>
      </c>
      <c r="AT22" s="230">
        <v>35</v>
      </c>
      <c r="AV22" s="38">
        <f t="shared" ref="AV22:BH22" si="25">+IFERROR(D22/$B$22,"N/A")</f>
        <v>7.5537478210342826E-3</v>
      </c>
      <c r="AW22" s="39">
        <f t="shared" si="25"/>
        <v>9.9360836722835563E-2</v>
      </c>
      <c r="AX22" s="39">
        <f t="shared" si="25"/>
        <v>0.11621150493898896</v>
      </c>
      <c r="AY22" s="39">
        <f t="shared" si="25"/>
        <v>1.1040092969203951E-2</v>
      </c>
      <c r="AZ22" s="39">
        <f t="shared" si="25"/>
        <v>2.905287623474724E-3</v>
      </c>
      <c r="BA22" s="39" t="str">
        <f t="shared" si="25"/>
        <v>N/A</v>
      </c>
      <c r="BB22" s="39">
        <f t="shared" si="25"/>
        <v>0.40790238233585124</v>
      </c>
      <c r="BC22" s="39">
        <f t="shared" si="25"/>
        <v>2.9633933759442184E-2</v>
      </c>
      <c r="BD22" s="262">
        <f t="shared" si="25"/>
        <v>3.3120278907611857E-2</v>
      </c>
      <c r="BE22" s="262">
        <f t="shared" si="25"/>
        <v>5.8105752469494478E-4</v>
      </c>
      <c r="BF22" s="262">
        <f t="shared" si="25"/>
        <v>6.9726902963393378E-3</v>
      </c>
      <c r="BG22" s="262">
        <f t="shared" si="25"/>
        <v>0</v>
      </c>
      <c r="BH22" s="265">
        <f t="shared" si="25"/>
        <v>0</v>
      </c>
    </row>
    <row r="23" spans="1:60">
      <c r="A23" s="245"/>
      <c r="B23" s="278"/>
      <c r="C23" s="55" t="s">
        <v>37</v>
      </c>
      <c r="D23" s="46">
        <v>2</v>
      </c>
      <c r="E23" s="30">
        <v>1</v>
      </c>
      <c r="F23" s="30" t="s">
        <v>36</v>
      </c>
      <c r="G23" s="30">
        <v>30</v>
      </c>
      <c r="H23" s="30">
        <v>0</v>
      </c>
      <c r="I23" s="30" t="s">
        <v>36</v>
      </c>
      <c r="J23" s="30">
        <v>142</v>
      </c>
      <c r="K23" s="30">
        <v>8</v>
      </c>
      <c r="L23" s="228"/>
      <c r="M23" s="228"/>
      <c r="N23" s="228"/>
      <c r="O23" s="228"/>
      <c r="P23" s="231"/>
      <c r="Q23" s="21"/>
      <c r="R23" s="278"/>
      <c r="S23" s="50">
        <f t="shared" si="2"/>
        <v>1.8749999999999999E-2</v>
      </c>
      <c r="T23" s="51">
        <f t="shared" si="3"/>
        <v>5.6249999999999998E-3</v>
      </c>
      <c r="U23" s="51" t="str">
        <f t="shared" si="4"/>
        <v>N/A</v>
      </c>
      <c r="V23" s="51">
        <f t="shared" si="5"/>
        <v>0.13125000000000001</v>
      </c>
      <c r="W23" s="51">
        <f t="shared" si="6"/>
        <v>0</v>
      </c>
      <c r="X23" s="51" t="str">
        <f t="shared" si="7"/>
        <v>N/A</v>
      </c>
      <c r="Y23" s="51">
        <f t="shared" si="8"/>
        <v>0.79874999999999996</v>
      </c>
      <c r="Z23" s="51">
        <f t="shared" si="9"/>
        <v>7.8333333333333338E-2</v>
      </c>
      <c r="AA23" s="228"/>
      <c r="AB23" s="228"/>
      <c r="AC23" s="228"/>
      <c r="AD23" s="228"/>
      <c r="AE23" s="231"/>
      <c r="AG23" s="269" cm="1">
        <f t="array" ref="AG23">SUMPRODUCT(IFERROR(AH9:AO12,0),IFERROR(AV9:BC12,0)) + SUMPRODUCT(IFERROR(AP9:AT9,0),IFERROR(BD9:BH9,0))</f>
        <v>55.372867677045186</v>
      </c>
      <c r="AH23" s="6">
        <v>90</v>
      </c>
      <c r="AI23" s="6">
        <v>54</v>
      </c>
      <c r="AJ23" s="30">
        <v>8</v>
      </c>
      <c r="AK23" s="6">
        <v>42</v>
      </c>
      <c r="AL23" s="6">
        <v>44</v>
      </c>
      <c r="AM23" s="6">
        <v>29</v>
      </c>
      <c r="AN23" s="6">
        <v>54</v>
      </c>
      <c r="AO23" s="6">
        <v>94</v>
      </c>
      <c r="AP23" s="228"/>
      <c r="AQ23" s="228"/>
      <c r="AR23" s="228"/>
      <c r="AS23" s="228"/>
      <c r="AT23" s="231"/>
      <c r="AV23" s="40">
        <f t="shared" ref="AV23:BC25" si="26">+IFERROR(D23/$B$22,"N/A")</f>
        <v>1.1621150493898896E-3</v>
      </c>
      <c r="AW23" s="41">
        <f t="shared" si="26"/>
        <v>5.8105752469494478E-4</v>
      </c>
      <c r="AX23" s="41" t="str">
        <f t="shared" si="26"/>
        <v>N/A</v>
      </c>
      <c r="AY23" s="41">
        <f t="shared" si="26"/>
        <v>1.7431725740848343E-2</v>
      </c>
      <c r="AZ23" s="41">
        <f t="shared" si="26"/>
        <v>0</v>
      </c>
      <c r="BA23" s="41" t="str">
        <f t="shared" si="26"/>
        <v>N/A</v>
      </c>
      <c r="BB23" s="41">
        <f t="shared" si="26"/>
        <v>8.2510168506682163E-2</v>
      </c>
      <c r="BC23" s="41">
        <f t="shared" si="26"/>
        <v>4.6484601975595582E-3</v>
      </c>
      <c r="BD23" s="263"/>
      <c r="BE23" s="263"/>
      <c r="BF23" s="263"/>
      <c r="BG23" s="263"/>
      <c r="BH23" s="266"/>
    </row>
    <row r="24" spans="1:60">
      <c r="A24" s="245"/>
      <c r="B24" s="278"/>
      <c r="C24" s="55" t="s">
        <v>38</v>
      </c>
      <c r="D24" s="46">
        <v>14</v>
      </c>
      <c r="E24" s="30" t="s">
        <v>36</v>
      </c>
      <c r="F24" s="30" t="s">
        <v>36</v>
      </c>
      <c r="G24" s="30">
        <v>25</v>
      </c>
      <c r="H24" s="30">
        <v>9</v>
      </c>
      <c r="I24" s="30">
        <v>14</v>
      </c>
      <c r="J24" s="30">
        <v>169</v>
      </c>
      <c r="K24" s="30">
        <v>37</v>
      </c>
      <c r="L24" s="228"/>
      <c r="M24" s="228"/>
      <c r="N24" s="228"/>
      <c r="O24" s="228"/>
      <c r="P24" s="231"/>
      <c r="Q24" s="21"/>
      <c r="R24" s="278"/>
      <c r="S24" s="50">
        <f t="shared" si="2"/>
        <v>0.13125000000000001</v>
      </c>
      <c r="T24" s="51" t="str">
        <f t="shared" si="3"/>
        <v>N/A</v>
      </c>
      <c r="U24" s="51" t="str">
        <f t="shared" si="4"/>
        <v>N/A</v>
      </c>
      <c r="V24" s="51">
        <f t="shared" si="5"/>
        <v>0.11979166666666667</v>
      </c>
      <c r="W24" s="51">
        <f t="shared" si="6"/>
        <v>4.1249999999999995E-2</v>
      </c>
      <c r="X24" s="51">
        <f t="shared" si="7"/>
        <v>4.2291666666666665E-2</v>
      </c>
      <c r="Y24" s="51">
        <f t="shared" si="8"/>
        <v>0.95062499999999994</v>
      </c>
      <c r="Z24" s="51">
        <f t="shared" si="9"/>
        <v>0.36229166666666668</v>
      </c>
      <c r="AA24" s="228"/>
      <c r="AB24" s="228"/>
      <c r="AC24" s="228"/>
      <c r="AD24" s="228"/>
      <c r="AE24" s="231"/>
      <c r="AG24" s="269" cm="1">
        <f t="array" ref="AG24">SUMPRODUCT(IFERROR(AH10:AO13,0),IFERROR(AV10:BC13,0)) + SUMPRODUCT(IFERROR(AP10:AT10,0),IFERROR(BD10:BH10,0))</f>
        <v>61.433897002305912</v>
      </c>
      <c r="AH24" s="6">
        <v>90</v>
      </c>
      <c r="AI24" s="6">
        <v>29</v>
      </c>
      <c r="AJ24" s="30">
        <v>8</v>
      </c>
      <c r="AK24" s="6">
        <v>46</v>
      </c>
      <c r="AL24" s="6">
        <v>44</v>
      </c>
      <c r="AM24" s="6">
        <v>29</v>
      </c>
      <c r="AN24" s="6">
        <v>54</v>
      </c>
      <c r="AO24" s="6">
        <v>94</v>
      </c>
      <c r="AP24" s="228"/>
      <c r="AQ24" s="228"/>
      <c r="AR24" s="228"/>
      <c r="AS24" s="228"/>
      <c r="AT24" s="231"/>
      <c r="AV24" s="40">
        <f t="shared" si="26"/>
        <v>8.1348053457292267E-3</v>
      </c>
      <c r="AW24" s="41" t="str">
        <f t="shared" si="26"/>
        <v>N/A</v>
      </c>
      <c r="AX24" s="41" t="str">
        <f t="shared" si="26"/>
        <v>N/A</v>
      </c>
      <c r="AY24" s="41">
        <f t="shared" si="26"/>
        <v>1.452643811737362E-2</v>
      </c>
      <c r="AZ24" s="41">
        <f t="shared" si="26"/>
        <v>5.2295177222545031E-3</v>
      </c>
      <c r="BA24" s="41">
        <f t="shared" si="26"/>
        <v>8.1348053457292267E-3</v>
      </c>
      <c r="BB24" s="41">
        <f t="shared" si="26"/>
        <v>9.8198721673445677E-2</v>
      </c>
      <c r="BC24" s="41">
        <f t="shared" si="26"/>
        <v>2.1499128413712959E-2</v>
      </c>
      <c r="BD24" s="263"/>
      <c r="BE24" s="263"/>
      <c r="BF24" s="263"/>
      <c r="BG24" s="263"/>
      <c r="BH24" s="266"/>
    </row>
    <row r="25" spans="1:60" ht="15" thickBot="1">
      <c r="A25" s="246"/>
      <c r="B25" s="279"/>
      <c r="C25" s="56" t="s">
        <v>39</v>
      </c>
      <c r="D25" s="47">
        <v>0</v>
      </c>
      <c r="E25" s="31" t="s">
        <v>36</v>
      </c>
      <c r="F25" s="31" t="s">
        <v>36</v>
      </c>
      <c r="G25" s="31">
        <v>10</v>
      </c>
      <c r="H25" s="31">
        <v>1</v>
      </c>
      <c r="I25" s="31" t="s">
        <v>36</v>
      </c>
      <c r="J25" s="31">
        <v>27</v>
      </c>
      <c r="K25" s="31">
        <v>1</v>
      </c>
      <c r="L25" s="229"/>
      <c r="M25" s="229"/>
      <c r="N25" s="229"/>
      <c r="O25" s="229"/>
      <c r="P25" s="232"/>
      <c r="Q25" s="21"/>
      <c r="R25" s="279"/>
      <c r="S25" s="50">
        <f t="shared" si="2"/>
        <v>0</v>
      </c>
      <c r="T25" s="51" t="str">
        <f t="shared" si="3"/>
        <v>N/A</v>
      </c>
      <c r="U25" s="51" t="str">
        <f t="shared" si="4"/>
        <v>N/A</v>
      </c>
      <c r="V25" s="51">
        <f t="shared" si="5"/>
        <v>4.791666666666667E-2</v>
      </c>
      <c r="W25" s="51">
        <f t="shared" si="6"/>
        <v>4.5833333333333334E-3</v>
      </c>
      <c r="X25" s="51" t="str">
        <f t="shared" si="7"/>
        <v>N/A</v>
      </c>
      <c r="Y25" s="51">
        <f t="shared" si="8"/>
        <v>0.15187500000000001</v>
      </c>
      <c r="Z25" s="51">
        <f t="shared" si="9"/>
        <v>9.7916666666666673E-3</v>
      </c>
      <c r="AA25" s="229"/>
      <c r="AB25" s="229"/>
      <c r="AC25" s="229"/>
      <c r="AD25" s="229"/>
      <c r="AE25" s="232"/>
      <c r="AG25" s="270" cm="1">
        <f t="array" ref="AG25">SUMPRODUCT(IFERROR(AH11:AO14,0),IFERROR(AV11:BC14,0)) + SUMPRODUCT(IFERROR(AP11:AT11,0),IFERROR(BD11:BH11,0))</f>
        <v>47.838449945780965</v>
      </c>
      <c r="AH25" s="6">
        <v>90</v>
      </c>
      <c r="AI25" s="6">
        <v>29</v>
      </c>
      <c r="AJ25" s="30">
        <v>8</v>
      </c>
      <c r="AK25" s="6">
        <v>46</v>
      </c>
      <c r="AL25" s="6">
        <v>44</v>
      </c>
      <c r="AM25" s="6">
        <v>29</v>
      </c>
      <c r="AN25" s="6">
        <v>54</v>
      </c>
      <c r="AO25" s="6">
        <v>94</v>
      </c>
      <c r="AP25" s="229"/>
      <c r="AQ25" s="229"/>
      <c r="AR25" s="229"/>
      <c r="AS25" s="229"/>
      <c r="AT25" s="232"/>
      <c r="AV25" s="42">
        <f t="shared" si="26"/>
        <v>0</v>
      </c>
      <c r="AW25" s="43" t="str">
        <f t="shared" si="26"/>
        <v>N/A</v>
      </c>
      <c r="AX25" s="43" t="str">
        <f t="shared" si="26"/>
        <v>N/A</v>
      </c>
      <c r="AY25" s="43">
        <f t="shared" si="26"/>
        <v>5.810575246949448E-3</v>
      </c>
      <c r="AZ25" s="43">
        <f t="shared" si="26"/>
        <v>5.8105752469494478E-4</v>
      </c>
      <c r="BA25" s="43" t="str">
        <f t="shared" si="26"/>
        <v>N/A</v>
      </c>
      <c r="BB25" s="43">
        <f t="shared" si="26"/>
        <v>1.568855316676351E-2</v>
      </c>
      <c r="BC25" s="43">
        <f t="shared" si="26"/>
        <v>5.8105752469494478E-4</v>
      </c>
      <c r="BD25" s="264"/>
      <c r="BE25" s="264"/>
      <c r="BF25" s="264"/>
      <c r="BG25" s="264"/>
      <c r="BH25" s="267"/>
    </row>
    <row r="26" spans="1:60">
      <c r="A26" s="298">
        <v>46054</v>
      </c>
      <c r="B26" s="286">
        <f t="shared" ref="B26" si="27">+SUM(D26:P29)</f>
        <v>1466</v>
      </c>
      <c r="C26" s="91" t="s">
        <v>35</v>
      </c>
      <c r="D26" s="92">
        <f>'[1]TD_NO TOUCH'!$U$9</f>
        <v>13</v>
      </c>
      <c r="E26" s="93">
        <f>'[1]TD_NO TOUCH'!$V$9</f>
        <v>162</v>
      </c>
      <c r="F26" s="93">
        <v>200</v>
      </c>
      <c r="G26" s="93">
        <f>'[1]TD_NO TOUCH'!$X$9</f>
        <v>49</v>
      </c>
      <c r="H26" s="93">
        <f>'[1]TD_NO TOUCH'!$Y$9</f>
        <v>7</v>
      </c>
      <c r="I26" s="93" t="s">
        <v>36</v>
      </c>
      <c r="J26" s="93">
        <f>'[1]TD_NO TOUCH'!$AA$9</f>
        <v>429</v>
      </c>
      <c r="K26" s="93">
        <f>'[1]TD_NO TOUCH'!$AB$9</f>
        <v>27</v>
      </c>
      <c r="L26" s="271">
        <v>32</v>
      </c>
      <c r="M26" s="271">
        <v>1</v>
      </c>
      <c r="N26" s="271">
        <v>20</v>
      </c>
      <c r="O26" s="271"/>
      <c r="P26" s="274"/>
      <c r="Q26" s="21"/>
      <c r="R26" s="286">
        <f t="shared" ref="R26" si="28">+SUM(S26:AE29)</f>
        <v>8.223020833333333</v>
      </c>
      <c r="S26" s="104">
        <f t="shared" si="2"/>
        <v>8.3958333333333329E-2</v>
      </c>
      <c r="T26" s="105">
        <f t="shared" si="3"/>
        <v>1.130625</v>
      </c>
      <c r="U26" s="105">
        <f t="shared" si="4"/>
        <v>0.16666666666666669</v>
      </c>
      <c r="V26" s="105">
        <f t="shared" si="5"/>
        <v>0.21437499999999998</v>
      </c>
      <c r="W26" s="105">
        <f t="shared" si="6"/>
        <v>3.2083333333333339E-2</v>
      </c>
      <c r="X26" s="105" t="str">
        <f t="shared" si="7"/>
        <v>N/A</v>
      </c>
      <c r="Y26" s="105">
        <f t="shared" si="8"/>
        <v>2.413125</v>
      </c>
      <c r="Z26" s="105">
        <f t="shared" si="9"/>
        <v>0.26437499999999997</v>
      </c>
      <c r="AA26" s="271">
        <f>+IFERROR((L26*AP26)/$BK$2/$BK$3,"N/A")</f>
        <v>0.75</v>
      </c>
      <c r="AB26" s="271">
        <f>+IFERROR((M26*AQ26)/$BK$2/$BK$3,"N/A")</f>
        <v>0.05</v>
      </c>
      <c r="AC26" s="271">
        <f>+IFERROR((N26*AR26)/$BK$2/$BK$3,"N/A")</f>
        <v>8.3333333333333343E-2</v>
      </c>
      <c r="AD26" s="271">
        <f>+IFERROR((O26*AS26)/$BK$2/$BK$3,"N/A")</f>
        <v>0</v>
      </c>
      <c r="AE26" s="274">
        <f>+IFERROR((P26*AT26)/$BK$2/$BK$3,"N/A")</f>
        <v>0</v>
      </c>
      <c r="AH26" s="32">
        <v>62</v>
      </c>
      <c r="AI26" s="33">
        <v>67</v>
      </c>
      <c r="AJ26" s="33">
        <v>8</v>
      </c>
      <c r="AK26" s="33">
        <v>42</v>
      </c>
      <c r="AL26" s="33">
        <v>44</v>
      </c>
      <c r="AM26" s="33">
        <v>29</v>
      </c>
      <c r="AN26" s="33">
        <v>54</v>
      </c>
      <c r="AO26" s="33">
        <v>94</v>
      </c>
      <c r="AP26" s="227">
        <v>225</v>
      </c>
      <c r="AQ26" s="227">
        <v>480</v>
      </c>
      <c r="AR26" s="227">
        <v>40</v>
      </c>
      <c r="AS26" s="227">
        <v>30</v>
      </c>
      <c r="AT26" s="230">
        <v>35</v>
      </c>
      <c r="AV26" s="75"/>
      <c r="AW26" s="23"/>
      <c r="AX26" s="23"/>
      <c r="AY26" s="23"/>
      <c r="AZ26" s="23"/>
      <c r="BA26" s="23"/>
      <c r="BB26" s="23"/>
      <c r="BC26" s="23"/>
      <c r="BD26" s="227"/>
      <c r="BE26" s="227"/>
      <c r="BF26" s="227"/>
      <c r="BG26" s="227"/>
      <c r="BH26" s="230"/>
    </row>
    <row r="27" spans="1:60">
      <c r="A27" s="299"/>
      <c r="B27" s="287"/>
      <c r="C27" s="94" t="s">
        <v>37</v>
      </c>
      <c r="D27" s="95">
        <f>'[2]TD_NO TOCAR'!$V$29</f>
        <v>4</v>
      </c>
      <c r="E27" s="96">
        <f>'[2]TD_NO TOCAR'!$W$29</f>
        <v>5</v>
      </c>
      <c r="F27" s="96" t="s">
        <v>36</v>
      </c>
      <c r="G27" s="96">
        <f>'[2]TD_NO TOCAR'!$Y$29</f>
        <v>24</v>
      </c>
      <c r="H27" s="96">
        <f>'[2]TD_NO TOCAR'!$Z$29</f>
        <v>4</v>
      </c>
      <c r="I27" s="96" t="s">
        <v>36</v>
      </c>
      <c r="J27" s="96">
        <f>'[2]TD_NO TOCAR'!$AB$29</f>
        <v>250</v>
      </c>
      <c r="K27" s="96">
        <f>'[2]TD_NO TOCAR'!$AC$29</f>
        <v>19</v>
      </c>
      <c r="L27" s="272"/>
      <c r="M27" s="272"/>
      <c r="N27" s="272"/>
      <c r="O27" s="272"/>
      <c r="P27" s="275"/>
      <c r="Q27" s="21"/>
      <c r="R27" s="287"/>
      <c r="S27" s="106">
        <f t="shared" si="2"/>
        <v>3.7499999999999999E-2</v>
      </c>
      <c r="T27" s="107">
        <f t="shared" si="3"/>
        <v>2.8125000000000001E-2</v>
      </c>
      <c r="U27" s="107" t="str">
        <f t="shared" si="4"/>
        <v>N/A</v>
      </c>
      <c r="V27" s="107">
        <f t="shared" si="5"/>
        <v>0.10500000000000001</v>
      </c>
      <c r="W27" s="107">
        <f t="shared" si="6"/>
        <v>1.8333333333333333E-2</v>
      </c>
      <c r="X27" s="107" t="str">
        <f t="shared" si="7"/>
        <v>N/A</v>
      </c>
      <c r="Y27" s="107">
        <f t="shared" si="8"/>
        <v>1.40625</v>
      </c>
      <c r="Z27" s="107">
        <f t="shared" si="9"/>
        <v>0.18604166666666666</v>
      </c>
      <c r="AA27" s="272"/>
      <c r="AB27" s="272"/>
      <c r="AC27" s="272"/>
      <c r="AD27" s="272"/>
      <c r="AE27" s="275"/>
      <c r="AH27" s="35">
        <v>90</v>
      </c>
      <c r="AI27" s="6">
        <v>54</v>
      </c>
      <c r="AJ27" s="30">
        <v>8</v>
      </c>
      <c r="AK27" s="6">
        <v>42</v>
      </c>
      <c r="AL27" s="6">
        <v>44</v>
      </c>
      <c r="AM27" s="6">
        <v>29</v>
      </c>
      <c r="AN27" s="6">
        <v>54</v>
      </c>
      <c r="AO27" s="6">
        <v>94</v>
      </c>
      <c r="AP27" s="228"/>
      <c r="AQ27" s="228"/>
      <c r="AR27" s="228"/>
      <c r="AS27" s="228"/>
      <c r="AT27" s="231"/>
      <c r="AV27" s="76"/>
      <c r="BD27" s="228"/>
      <c r="BE27" s="228"/>
      <c r="BF27" s="228"/>
      <c r="BG27" s="228"/>
      <c r="BH27" s="231"/>
    </row>
    <row r="28" spans="1:60">
      <c r="A28" s="299"/>
      <c r="B28" s="287"/>
      <c r="C28" s="94" t="s">
        <v>38</v>
      </c>
      <c r="D28" s="95">
        <f>'[3]TD_NO TOUCH'!$V$32</f>
        <v>5</v>
      </c>
      <c r="E28" s="96" t="str">
        <f>'[3]TD_NO TOUCH'!$W$32</f>
        <v>N/A</v>
      </c>
      <c r="F28" s="96" t="str">
        <f>'[3]TD_NO TOUCH'!$X$32</f>
        <v>N/A</v>
      </c>
      <c r="G28" s="96">
        <f>'[3]TD_NO TOUCH'!$Y$32</f>
        <v>27</v>
      </c>
      <c r="H28" s="96">
        <f>'[3]TD_NO TOUCH'!$Z$32</f>
        <v>2</v>
      </c>
      <c r="I28" s="96">
        <f>'[3]TD_NO TOUCH'!$AA$32</f>
        <v>7</v>
      </c>
      <c r="J28" s="96">
        <f>'[3]TD_NO TOUCH'!$AB$32</f>
        <v>117</v>
      </c>
      <c r="K28" s="96">
        <f>'[3]TD_NO TOUCH'!$AC$32</f>
        <v>11</v>
      </c>
      <c r="L28" s="272"/>
      <c r="M28" s="272"/>
      <c r="N28" s="272"/>
      <c r="O28" s="272"/>
      <c r="P28" s="275"/>
      <c r="Q28" s="21"/>
      <c r="R28" s="287"/>
      <c r="S28" s="106">
        <f t="shared" si="2"/>
        <v>4.6875E-2</v>
      </c>
      <c r="T28" s="107" t="str">
        <f t="shared" si="3"/>
        <v>N/A</v>
      </c>
      <c r="U28" s="107" t="str">
        <f t="shared" si="4"/>
        <v>N/A</v>
      </c>
      <c r="V28" s="107">
        <f t="shared" si="5"/>
        <v>0.12937499999999999</v>
      </c>
      <c r="W28" s="107">
        <f t="shared" si="6"/>
        <v>9.1666666666666667E-3</v>
      </c>
      <c r="X28" s="107">
        <f t="shared" si="7"/>
        <v>2.1145833333333332E-2</v>
      </c>
      <c r="Y28" s="107">
        <f t="shared" si="8"/>
        <v>0.65812499999999996</v>
      </c>
      <c r="Z28" s="107">
        <f t="shared" si="9"/>
        <v>0.10770833333333334</v>
      </c>
      <c r="AA28" s="272"/>
      <c r="AB28" s="272"/>
      <c r="AC28" s="272"/>
      <c r="AD28" s="272"/>
      <c r="AE28" s="275"/>
      <c r="AH28" s="35">
        <v>90</v>
      </c>
      <c r="AI28" s="6">
        <v>29</v>
      </c>
      <c r="AJ28" s="30">
        <v>8</v>
      </c>
      <c r="AK28" s="6">
        <v>46</v>
      </c>
      <c r="AL28" s="6">
        <v>44</v>
      </c>
      <c r="AM28" s="6">
        <v>29</v>
      </c>
      <c r="AN28" s="6">
        <v>54</v>
      </c>
      <c r="AO28" s="6">
        <v>94</v>
      </c>
      <c r="AP28" s="228"/>
      <c r="AQ28" s="228"/>
      <c r="AR28" s="228"/>
      <c r="AS28" s="228"/>
      <c r="AT28" s="231"/>
      <c r="AV28" s="76"/>
      <c r="BD28" s="228"/>
      <c r="BE28" s="228"/>
      <c r="BF28" s="228"/>
      <c r="BG28" s="228"/>
      <c r="BH28" s="231"/>
    </row>
    <row r="29" spans="1:60" ht="15" thickBot="1">
      <c r="A29" s="300"/>
      <c r="B29" s="288"/>
      <c r="C29" s="97" t="s">
        <v>39</v>
      </c>
      <c r="D29" s="95">
        <v>0</v>
      </c>
      <c r="E29" s="96" t="s">
        <v>36</v>
      </c>
      <c r="F29" s="96" t="s">
        <v>36</v>
      </c>
      <c r="G29" s="96">
        <v>6</v>
      </c>
      <c r="H29" s="96">
        <v>1</v>
      </c>
      <c r="I29" s="96" t="s">
        <v>36</v>
      </c>
      <c r="J29" s="96">
        <v>44</v>
      </c>
      <c r="K29" s="96">
        <v>0</v>
      </c>
      <c r="L29" s="273"/>
      <c r="M29" s="273"/>
      <c r="N29" s="273"/>
      <c r="O29" s="273"/>
      <c r="P29" s="276"/>
      <c r="Q29" s="21"/>
      <c r="R29" s="288"/>
      <c r="S29" s="106">
        <f t="shared" si="2"/>
        <v>0</v>
      </c>
      <c r="T29" s="107" t="str">
        <f t="shared" si="3"/>
        <v>N/A</v>
      </c>
      <c r="U29" s="107" t="str">
        <f t="shared" si="4"/>
        <v>N/A</v>
      </c>
      <c r="V29" s="107">
        <f t="shared" si="5"/>
        <v>2.8749999999999998E-2</v>
      </c>
      <c r="W29" s="107">
        <f t="shared" si="6"/>
        <v>4.5833333333333334E-3</v>
      </c>
      <c r="X29" s="107" t="str">
        <f t="shared" si="7"/>
        <v>N/A</v>
      </c>
      <c r="Y29" s="107">
        <f t="shared" si="8"/>
        <v>0.2475</v>
      </c>
      <c r="Z29" s="107">
        <f t="shared" si="9"/>
        <v>0</v>
      </c>
      <c r="AA29" s="273"/>
      <c r="AB29" s="273"/>
      <c r="AC29" s="273"/>
      <c r="AD29" s="273"/>
      <c r="AE29" s="276"/>
      <c r="AH29" s="35">
        <v>90</v>
      </c>
      <c r="AI29" s="6">
        <v>29</v>
      </c>
      <c r="AJ29" s="30">
        <v>8</v>
      </c>
      <c r="AK29" s="6">
        <v>46</v>
      </c>
      <c r="AL29" s="6">
        <v>44</v>
      </c>
      <c r="AM29" s="6">
        <v>29</v>
      </c>
      <c r="AN29" s="6">
        <v>54</v>
      </c>
      <c r="AO29" s="6">
        <v>94</v>
      </c>
      <c r="AP29" s="229"/>
      <c r="AQ29" s="229"/>
      <c r="AR29" s="229"/>
      <c r="AS29" s="229"/>
      <c r="AT29" s="232"/>
      <c r="AV29" s="77"/>
      <c r="AW29" s="26"/>
      <c r="AX29" s="26"/>
      <c r="AY29" s="26"/>
      <c r="AZ29" s="26"/>
      <c r="BA29" s="26"/>
      <c r="BB29" s="26"/>
      <c r="BC29" s="26"/>
      <c r="BD29" s="229"/>
      <c r="BE29" s="229"/>
      <c r="BF29" s="229"/>
      <c r="BG29" s="229"/>
      <c r="BH29" s="232"/>
    </row>
    <row r="30" spans="1:60">
      <c r="A30" s="244">
        <v>46082</v>
      </c>
      <c r="B30" s="295"/>
      <c r="C30" s="84" t="s">
        <v>35</v>
      </c>
      <c r="D30" s="44">
        <f>'[4]TD_NO TOUCH'!U10</f>
        <v>1</v>
      </c>
      <c r="E30" s="45">
        <f>'[4]TD_NO TOUCH'!V10</f>
        <v>12</v>
      </c>
      <c r="F30" s="45">
        <f>'[4]TD_NO TOUCH'!W10</f>
        <v>200</v>
      </c>
      <c r="G30" s="45">
        <f>'[4]TD_NO TOUCH'!X10</f>
        <v>0</v>
      </c>
      <c r="H30" s="45">
        <f>'[4]TD_NO TOUCH'!Y10</f>
        <v>0</v>
      </c>
      <c r="I30" s="45" t="str">
        <f>'[4]TD_NO TOUCH'!Z10</f>
        <v>N/A</v>
      </c>
      <c r="J30" s="45">
        <f>'[4]TD_NO TOUCH'!AA10</f>
        <v>10</v>
      </c>
      <c r="K30" s="45">
        <f>'[4]TD_NO TOUCH'!AB10</f>
        <v>1</v>
      </c>
      <c r="L30" s="280"/>
      <c r="M30" s="280"/>
      <c r="N30" s="280"/>
      <c r="O30" s="280"/>
      <c r="P30" s="283"/>
      <c r="R30" s="289">
        <f>+SUM(S30:Z33)</f>
        <v>0</v>
      </c>
      <c r="S30" s="75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4"/>
      <c r="AH30" s="75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4"/>
      <c r="AV30" s="75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4"/>
    </row>
    <row r="31" spans="1:60">
      <c r="A31" s="245"/>
      <c r="B31" s="296"/>
      <c r="C31" s="85" t="s">
        <v>37</v>
      </c>
      <c r="D31" s="46">
        <f>'[2]TD_NO TOCAR'!V30</f>
        <v>0</v>
      </c>
      <c r="E31" s="30">
        <f>'[2]TD_NO TOCAR'!W30</f>
        <v>0</v>
      </c>
      <c r="F31" s="30" t="str">
        <f>'[2]TD_NO TOCAR'!X30</f>
        <v>N/A</v>
      </c>
      <c r="G31" s="30">
        <f>'[2]TD_NO TOCAR'!Y30</f>
        <v>0</v>
      </c>
      <c r="H31" s="30">
        <f>'[2]TD_NO TOCAR'!Z30</f>
        <v>0</v>
      </c>
      <c r="I31" s="30" t="str">
        <f>'[2]TD_NO TOCAR'!AA30</f>
        <v>N/A</v>
      </c>
      <c r="J31" s="30">
        <f>'[2]TD_NO TOCAR'!AB30</f>
        <v>24</v>
      </c>
      <c r="K31" s="30">
        <f>'[2]TD_NO TOCAR'!AC30</f>
        <v>0</v>
      </c>
      <c r="L31" s="281"/>
      <c r="M31" s="281"/>
      <c r="N31" s="281"/>
      <c r="O31" s="281"/>
      <c r="P31" s="284"/>
      <c r="R31" s="290"/>
      <c r="S31" s="76"/>
      <c r="AE31" s="25"/>
      <c r="AH31" s="76"/>
      <c r="AT31" s="25"/>
      <c r="AV31" s="76"/>
      <c r="BH31" s="25"/>
    </row>
    <row r="32" spans="1:60">
      <c r="A32" s="245"/>
      <c r="B32" s="296"/>
      <c r="C32" s="85" t="s">
        <v>38</v>
      </c>
      <c r="D32" s="46"/>
      <c r="E32" s="30"/>
      <c r="F32" s="30"/>
      <c r="G32" s="30"/>
      <c r="H32" s="30"/>
      <c r="I32" s="30"/>
      <c r="J32" s="30"/>
      <c r="K32" s="30"/>
      <c r="L32" s="281"/>
      <c r="M32" s="281"/>
      <c r="N32" s="281"/>
      <c r="O32" s="281"/>
      <c r="P32" s="284"/>
      <c r="R32" s="290"/>
      <c r="S32" s="76"/>
      <c r="AE32" s="25"/>
      <c r="AH32" s="76"/>
      <c r="AT32" s="25"/>
      <c r="AV32" s="76"/>
      <c r="BH32" s="25"/>
    </row>
    <row r="33" spans="1:60" ht="15" thickBot="1">
      <c r="A33" s="246"/>
      <c r="B33" s="297"/>
      <c r="C33" s="86" t="s">
        <v>39</v>
      </c>
      <c r="D33" s="47"/>
      <c r="E33" s="31"/>
      <c r="F33" s="31"/>
      <c r="G33" s="31"/>
      <c r="H33" s="31"/>
      <c r="I33" s="31"/>
      <c r="J33" s="31"/>
      <c r="K33" s="31"/>
      <c r="L33" s="282"/>
      <c r="M33" s="282"/>
      <c r="N33" s="282"/>
      <c r="O33" s="282"/>
      <c r="P33" s="285"/>
      <c r="R33" s="291"/>
      <c r="S33" s="77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7"/>
      <c r="AH33" s="77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7"/>
      <c r="AV33" s="77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</row>
    <row r="34" spans="1:60">
      <c r="A34" s="244">
        <v>46113</v>
      </c>
      <c r="B34" s="295"/>
      <c r="C34" s="84" t="s">
        <v>35</v>
      </c>
      <c r="D34" s="44"/>
      <c r="E34" s="45"/>
      <c r="F34" s="45"/>
      <c r="G34" s="45"/>
      <c r="H34" s="45"/>
      <c r="I34" s="45"/>
      <c r="J34" s="45"/>
      <c r="K34" s="45"/>
      <c r="L34" s="280"/>
      <c r="M34" s="280"/>
      <c r="N34" s="280"/>
      <c r="O34" s="280"/>
      <c r="P34" s="283"/>
      <c r="R34" s="289">
        <f>+SUM(S34:Z37)</f>
        <v>0</v>
      </c>
      <c r="S34" s="75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4"/>
      <c r="AH34" s="75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4"/>
      <c r="AV34" s="75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4"/>
    </row>
    <row r="35" spans="1:60">
      <c r="A35" s="245"/>
      <c r="B35" s="296"/>
      <c r="C35" s="85" t="s">
        <v>37</v>
      </c>
      <c r="D35" s="46"/>
      <c r="E35" s="30"/>
      <c r="F35" s="30"/>
      <c r="G35" s="30"/>
      <c r="H35" s="30"/>
      <c r="I35" s="30"/>
      <c r="J35" s="30"/>
      <c r="K35" s="30"/>
      <c r="L35" s="281"/>
      <c r="M35" s="281"/>
      <c r="N35" s="281"/>
      <c r="O35" s="281"/>
      <c r="P35" s="284"/>
      <c r="R35" s="290"/>
      <c r="S35" s="76"/>
      <c r="AE35" s="25"/>
      <c r="AH35" s="76"/>
      <c r="AT35" s="25"/>
      <c r="AV35" s="76"/>
      <c r="BH35" s="25"/>
    </row>
    <row r="36" spans="1:60">
      <c r="A36" s="245"/>
      <c r="B36" s="296"/>
      <c r="C36" s="85" t="s">
        <v>38</v>
      </c>
      <c r="D36" s="46"/>
      <c r="E36" s="30"/>
      <c r="F36" s="30"/>
      <c r="G36" s="30"/>
      <c r="H36" s="30"/>
      <c r="I36" s="30"/>
      <c r="J36" s="30"/>
      <c r="K36" s="30"/>
      <c r="L36" s="281"/>
      <c r="M36" s="281"/>
      <c r="N36" s="281"/>
      <c r="O36" s="281"/>
      <c r="P36" s="284"/>
      <c r="R36" s="290"/>
      <c r="S36" s="76"/>
      <c r="AE36" s="25"/>
      <c r="AH36" s="76"/>
      <c r="AT36" s="25"/>
      <c r="AV36" s="76"/>
      <c r="BH36" s="25"/>
    </row>
    <row r="37" spans="1:60" ht="15" thickBot="1">
      <c r="A37" s="246"/>
      <c r="B37" s="297"/>
      <c r="C37" s="86" t="s">
        <v>39</v>
      </c>
      <c r="D37" s="47"/>
      <c r="E37" s="31"/>
      <c r="F37" s="31"/>
      <c r="G37" s="31"/>
      <c r="H37" s="31"/>
      <c r="I37" s="31"/>
      <c r="J37" s="31"/>
      <c r="K37" s="31"/>
      <c r="L37" s="282"/>
      <c r="M37" s="282"/>
      <c r="N37" s="282"/>
      <c r="O37" s="282"/>
      <c r="P37" s="285"/>
      <c r="R37" s="291"/>
      <c r="S37" s="77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7"/>
      <c r="AH37" s="77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7"/>
      <c r="AV37" s="77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7"/>
    </row>
    <row r="39" spans="1:60">
      <c r="AH39" s="144">
        <f>+IFERROR((AH22*AV22),0)</f>
        <v>0.4683323649041255</v>
      </c>
      <c r="AI39" s="144">
        <f t="shared" ref="AI39:AO39" si="29">+IFERROR((AI22*AW22),0)</f>
        <v>6.6571760604299826</v>
      </c>
      <c r="AJ39" s="144">
        <f t="shared" si="29"/>
        <v>0.92969203951191171</v>
      </c>
      <c r="AK39" s="144">
        <f t="shared" si="29"/>
        <v>0.46368390470656595</v>
      </c>
      <c r="AL39" s="144">
        <f t="shared" si="29"/>
        <v>0.12783265543288785</v>
      </c>
      <c r="AM39" s="144">
        <f t="shared" si="29"/>
        <v>0</v>
      </c>
      <c r="AN39" s="144">
        <f>+IFERROR((AN22*BB22),0)</f>
        <v>22.026728646135968</v>
      </c>
      <c r="AO39" s="144">
        <f t="shared" si="29"/>
        <v>2.7855897733875654</v>
      </c>
      <c r="AP39" s="223">
        <f>+IFERROR((AP22*BD22),0)</f>
        <v>7.4520627542126681</v>
      </c>
      <c r="AQ39" s="223">
        <f t="shared" ref="AQ39:AT39" si="30">+IFERROR((AQ22*BE22),0)</f>
        <v>0.27890761185357349</v>
      </c>
      <c r="AR39" s="223">
        <f t="shared" si="30"/>
        <v>0.27890761185357349</v>
      </c>
      <c r="AS39" s="223">
        <f t="shared" si="30"/>
        <v>0</v>
      </c>
      <c r="AT39" s="223">
        <f t="shared" si="30"/>
        <v>0</v>
      </c>
    </row>
    <row r="40" spans="1:60">
      <c r="AH40" s="144">
        <f t="shared" ref="AH40:AH42" si="31">+IFERROR((AH23*AV23),0)</f>
        <v>0.10459035444509006</v>
      </c>
      <c r="AI40" s="144">
        <f t="shared" ref="AI40:AI42" si="32">+IFERROR((AI23*AW23),0)</f>
        <v>3.137710633352702E-2</v>
      </c>
      <c r="AJ40" s="144">
        <f t="shared" ref="AJ40:AJ42" si="33">+IFERROR((AJ23*AX23),0)</f>
        <v>0</v>
      </c>
      <c r="AK40" s="144">
        <f t="shared" ref="AK40:AK42" si="34">+IFERROR((AK23*AY23),0)</f>
        <v>0.73213248111563045</v>
      </c>
      <c r="AL40" s="144">
        <f t="shared" ref="AL40:AL42" si="35">+IFERROR((AL23*AZ23),0)</f>
        <v>0</v>
      </c>
      <c r="AM40" s="144">
        <f t="shared" ref="AM40:AM42" si="36">+IFERROR((AM23*BA23),0)</f>
        <v>0</v>
      </c>
      <c r="AN40" s="144">
        <f t="shared" ref="AN40:AN42" si="37">+IFERROR((AN23*BB23),0)</f>
        <v>4.4555490993608364</v>
      </c>
      <c r="AO40" s="144">
        <f t="shared" ref="AO40:AO42" si="38">+IFERROR((AO23*BC23),0)</f>
        <v>0.43695525857059847</v>
      </c>
      <c r="AP40" s="223"/>
      <c r="AQ40" s="223"/>
      <c r="AR40" s="223"/>
      <c r="AS40" s="223"/>
      <c r="AT40" s="223"/>
    </row>
    <row r="41" spans="1:60">
      <c r="L41">
        <f>+AVERAGE(SUM(L6:N9),SUM(L10:N13),SUM(L14:N17),SUM(L18:N21),SUM(L22:N25))</f>
        <v>50.6</v>
      </c>
      <c r="AH41" s="144">
        <f t="shared" si="31"/>
        <v>0.73213248111563045</v>
      </c>
      <c r="AI41" s="144">
        <f t="shared" si="32"/>
        <v>0</v>
      </c>
      <c r="AJ41" s="144">
        <f t="shared" si="33"/>
        <v>0</v>
      </c>
      <c r="AK41" s="144">
        <f t="shared" si="34"/>
        <v>0.6682161533991865</v>
      </c>
      <c r="AL41" s="144">
        <f t="shared" si="35"/>
        <v>0.23009877977919813</v>
      </c>
      <c r="AM41" s="144">
        <f t="shared" si="36"/>
        <v>0.23590935502614757</v>
      </c>
      <c r="AN41" s="144">
        <f t="shared" si="37"/>
        <v>5.302730970366067</v>
      </c>
      <c r="AO41" s="144">
        <f t="shared" si="38"/>
        <v>2.0209180708890182</v>
      </c>
      <c r="AP41" s="223"/>
      <c r="AQ41" s="223"/>
      <c r="AR41" s="223"/>
      <c r="AS41" s="223"/>
      <c r="AT41" s="223"/>
    </row>
    <row r="42" spans="1:60">
      <c r="AH42" s="144">
        <f t="shared" si="31"/>
        <v>0</v>
      </c>
      <c r="AI42" s="144">
        <f t="shared" si="32"/>
        <v>0</v>
      </c>
      <c r="AJ42" s="144">
        <f t="shared" si="33"/>
        <v>0</v>
      </c>
      <c r="AK42" s="144">
        <f t="shared" si="34"/>
        <v>0.2672864613596746</v>
      </c>
      <c r="AL42" s="144">
        <f t="shared" si="35"/>
        <v>2.5566531086577571E-2</v>
      </c>
      <c r="AM42" s="144">
        <f t="shared" si="36"/>
        <v>0</v>
      </c>
      <c r="AN42" s="144">
        <f t="shared" si="37"/>
        <v>0.84718187100522957</v>
      </c>
      <c r="AO42" s="144">
        <f t="shared" si="38"/>
        <v>5.4619407321324809E-2</v>
      </c>
      <c r="AP42" s="223"/>
      <c r="AQ42" s="223"/>
      <c r="AR42" s="223"/>
      <c r="AS42" s="223"/>
      <c r="AT42" s="223"/>
    </row>
    <row r="53" spans="1:60" ht="15" thickBot="1"/>
    <row r="54" spans="1:60" ht="15" thickBot="1">
      <c r="R54" s="259" t="s">
        <v>14</v>
      </c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1"/>
    </row>
    <row r="55" spans="1:60" ht="60">
      <c r="A55" s="242" t="s">
        <v>40</v>
      </c>
      <c r="B55" s="242"/>
      <c r="C55" s="243"/>
      <c r="D55" s="10" t="s">
        <v>18</v>
      </c>
      <c r="E55" s="10" t="s">
        <v>19</v>
      </c>
      <c r="F55" s="10" t="s">
        <v>20</v>
      </c>
      <c r="G55" s="10" t="s">
        <v>21</v>
      </c>
      <c r="H55" s="10" t="s">
        <v>22</v>
      </c>
      <c r="I55" s="10" t="s">
        <v>23</v>
      </c>
      <c r="J55" s="2" t="s">
        <v>24</v>
      </c>
      <c r="K55" s="10" t="s">
        <v>25</v>
      </c>
      <c r="L55" s="87" t="s">
        <v>26</v>
      </c>
      <c r="M55" s="87" t="s">
        <v>27</v>
      </c>
      <c r="N55" s="87" t="s">
        <v>28</v>
      </c>
      <c r="O55" s="87" t="s">
        <v>29</v>
      </c>
      <c r="P55" s="87" t="s">
        <v>30</v>
      </c>
      <c r="R55" s="108" t="s">
        <v>31</v>
      </c>
      <c r="S55" s="10" t="s">
        <v>18</v>
      </c>
      <c r="T55" s="10" t="s">
        <v>19</v>
      </c>
      <c r="U55" s="10" t="s">
        <v>20</v>
      </c>
      <c r="V55" s="10" t="s">
        <v>21</v>
      </c>
      <c r="W55" s="10" t="s">
        <v>22</v>
      </c>
      <c r="X55" s="10" t="s">
        <v>23</v>
      </c>
      <c r="Y55" s="2" t="s">
        <v>24</v>
      </c>
      <c r="Z55" s="10" t="s">
        <v>25</v>
      </c>
      <c r="AA55" s="87" t="s">
        <v>26</v>
      </c>
      <c r="AB55" s="87" t="s">
        <v>27</v>
      </c>
      <c r="AC55" s="87" t="s">
        <v>28</v>
      </c>
      <c r="AD55" s="87" t="s">
        <v>29</v>
      </c>
      <c r="AE55" s="87" t="s">
        <v>30</v>
      </c>
      <c r="AP55" s="78" t="s">
        <v>26</v>
      </c>
      <c r="AQ55" s="78" t="s">
        <v>27</v>
      </c>
      <c r="AR55" s="78" t="s">
        <v>28</v>
      </c>
      <c r="AS55" s="78" t="s">
        <v>29</v>
      </c>
      <c r="AT55" s="78" t="s">
        <v>30</v>
      </c>
      <c r="BD55" s="78" t="s">
        <v>26</v>
      </c>
      <c r="BE55" s="78" t="s">
        <v>27</v>
      </c>
      <c r="BF55" s="78" t="s">
        <v>28</v>
      </c>
      <c r="BG55" s="78" t="s">
        <v>29</v>
      </c>
      <c r="BH55" s="78" t="s">
        <v>30</v>
      </c>
    </row>
    <row r="56" spans="1:60">
      <c r="A56" s="292" t="s">
        <v>41</v>
      </c>
      <c r="B56" s="247">
        <f>+SUM(D56:K59)</f>
        <v>2268.9999999999995</v>
      </c>
      <c r="C56" s="22" t="s">
        <v>35</v>
      </c>
      <c r="D56" s="109">
        <f>+IFERROR(AVERAGE(D6,D10,D14,D18,D22),"N/A")</f>
        <v>12.8</v>
      </c>
      <c r="E56" s="110">
        <f t="shared" ref="E56:K56" si="39">+IFERROR(AVERAGE(E6,E10,E14,E18,E22),"N/A")</f>
        <v>206</v>
      </c>
      <c r="F56" s="110">
        <f t="shared" si="39"/>
        <v>200</v>
      </c>
      <c r="G56" s="110">
        <f t="shared" si="39"/>
        <v>21.6</v>
      </c>
      <c r="H56" s="110">
        <f t="shared" si="39"/>
        <v>4.2</v>
      </c>
      <c r="I56" s="110" t="str">
        <f t="shared" si="39"/>
        <v>N/A</v>
      </c>
      <c r="J56" s="110">
        <f t="shared" si="39"/>
        <v>893</v>
      </c>
      <c r="K56" s="110">
        <f t="shared" si="39"/>
        <v>40.6</v>
      </c>
      <c r="L56" s="253">
        <f>+IFERROR(AVERAGE(L6,L10,L14,L18,L22),"N/A")</f>
        <v>37.6</v>
      </c>
      <c r="M56" s="253">
        <v>1</v>
      </c>
      <c r="N56" s="253">
        <v>12</v>
      </c>
      <c r="O56" s="253"/>
      <c r="P56" s="256"/>
      <c r="Q56" s="21"/>
      <c r="R56" s="250">
        <f>+SUM(S56:Z59)</f>
        <v>13.282416666666666</v>
      </c>
      <c r="S56" s="48">
        <f t="shared" ref="S56:Z59" si="40">+IFERROR((D56*AH6)/$BK$2/$BK$3,"N/A")</f>
        <v>8.2666666666666666E-2</v>
      </c>
      <c r="T56" s="49">
        <f t="shared" si="40"/>
        <v>1.4377083333333334</v>
      </c>
      <c r="U56" s="49">
        <f t="shared" si="40"/>
        <v>0.16666666666666669</v>
      </c>
      <c r="V56" s="49">
        <f t="shared" si="40"/>
        <v>9.4500000000000001E-2</v>
      </c>
      <c r="W56" s="49">
        <f t="shared" si="40"/>
        <v>1.925E-2</v>
      </c>
      <c r="X56" s="49" t="str">
        <f t="shared" si="40"/>
        <v>N/A</v>
      </c>
      <c r="Y56" s="49">
        <f t="shared" si="40"/>
        <v>5.0231250000000003</v>
      </c>
      <c r="Z56" s="49">
        <f t="shared" si="40"/>
        <v>0.39754166666666668</v>
      </c>
      <c r="AA56" s="227">
        <f>+IFERROR(AVERAGE(AA6,AA10,AA14,AA18,AA22),"N/A")</f>
        <v>0.88124999999999998</v>
      </c>
      <c r="AB56" s="227">
        <f t="shared" ref="AB56:AE56" si="41">+IFERROR(AVERAGE(AB6,AB10,AB14,AB18,AB22),"N/A")</f>
        <v>0.05</v>
      </c>
      <c r="AC56" s="227">
        <f t="shared" si="41"/>
        <v>0.05</v>
      </c>
      <c r="AD56" s="227">
        <f t="shared" si="41"/>
        <v>0</v>
      </c>
      <c r="AE56" s="230">
        <f t="shared" si="41"/>
        <v>0</v>
      </c>
    </row>
    <row r="57" spans="1:60">
      <c r="A57" s="293"/>
      <c r="B57" s="248"/>
      <c r="C57" s="22" t="s">
        <v>37</v>
      </c>
      <c r="D57" s="111">
        <f t="shared" ref="D57:K57" si="42">+IFERROR(AVERAGE(D7,D11,D15,D19,D23),"N/A")</f>
        <v>2</v>
      </c>
      <c r="E57" s="112">
        <f t="shared" si="42"/>
        <v>0.6</v>
      </c>
      <c r="F57" s="112" t="str">
        <f t="shared" si="42"/>
        <v>N/A</v>
      </c>
      <c r="G57" s="112">
        <f t="shared" si="42"/>
        <v>15.2</v>
      </c>
      <c r="H57" s="112">
        <f t="shared" si="42"/>
        <v>0.4</v>
      </c>
      <c r="I57" s="112" t="str">
        <f t="shared" si="42"/>
        <v>N/A</v>
      </c>
      <c r="J57" s="112">
        <f t="shared" si="42"/>
        <v>216.2</v>
      </c>
      <c r="K57" s="112">
        <f t="shared" si="42"/>
        <v>9</v>
      </c>
      <c r="L57" s="254"/>
      <c r="M57" s="254"/>
      <c r="N57" s="254"/>
      <c r="O57" s="254"/>
      <c r="P57" s="257"/>
      <c r="Q57" s="21"/>
      <c r="R57" s="251"/>
      <c r="S57" s="50">
        <f t="shared" si="40"/>
        <v>1.8749999999999999E-2</v>
      </c>
      <c r="T57" s="51">
        <f t="shared" si="40"/>
        <v>3.3749999999999995E-3</v>
      </c>
      <c r="U57" s="51" t="str">
        <f t="shared" si="40"/>
        <v>N/A</v>
      </c>
      <c r="V57" s="51">
        <f t="shared" si="40"/>
        <v>6.649999999999999E-2</v>
      </c>
      <c r="W57" s="51">
        <f t="shared" si="40"/>
        <v>1.8333333333333333E-3</v>
      </c>
      <c r="X57" s="51" t="str">
        <f t="shared" si="40"/>
        <v>N/A</v>
      </c>
      <c r="Y57" s="51">
        <f t="shared" si="40"/>
        <v>1.2161249999999999</v>
      </c>
      <c r="Z57" s="51">
        <f t="shared" si="40"/>
        <v>8.8124999999999995E-2</v>
      </c>
      <c r="AA57" s="228"/>
      <c r="AB57" s="228"/>
      <c r="AC57" s="228"/>
      <c r="AD57" s="228"/>
      <c r="AE57" s="231"/>
      <c r="AH57" s="19"/>
    </row>
    <row r="58" spans="1:60">
      <c r="A58" s="293"/>
      <c r="B58" s="248"/>
      <c r="C58" s="22" t="s">
        <v>38</v>
      </c>
      <c r="D58" s="111">
        <f t="shared" ref="D58:K58" si="43">+IFERROR(AVERAGE(D8,D12,D16,D20,D24),"N/A")</f>
        <v>15.2</v>
      </c>
      <c r="E58" s="112" t="str">
        <f t="shared" si="43"/>
        <v>N/A</v>
      </c>
      <c r="F58" s="112" t="str">
        <f t="shared" si="43"/>
        <v>N/A</v>
      </c>
      <c r="G58" s="112">
        <f t="shared" si="43"/>
        <v>41.2</v>
      </c>
      <c r="H58" s="112">
        <f t="shared" si="43"/>
        <v>5.6</v>
      </c>
      <c r="I58" s="112">
        <f t="shared" si="43"/>
        <v>9.6</v>
      </c>
      <c r="J58" s="112">
        <f t="shared" si="43"/>
        <v>297.39999999999998</v>
      </c>
      <c r="K58" s="112">
        <f t="shared" si="43"/>
        <v>246.6</v>
      </c>
      <c r="L58" s="254"/>
      <c r="M58" s="254"/>
      <c r="N58" s="254"/>
      <c r="O58" s="254"/>
      <c r="P58" s="257"/>
      <c r="Q58" s="21"/>
      <c r="R58" s="251"/>
      <c r="S58" s="50">
        <f t="shared" si="40"/>
        <v>0.14250000000000002</v>
      </c>
      <c r="T58" s="51" t="str">
        <f t="shared" si="40"/>
        <v>N/A</v>
      </c>
      <c r="U58" s="51" t="str">
        <f t="shared" si="40"/>
        <v>N/A</v>
      </c>
      <c r="V58" s="51">
        <f t="shared" si="40"/>
        <v>0.19741666666666666</v>
      </c>
      <c r="W58" s="51">
        <f t="shared" si="40"/>
        <v>2.5666666666666664E-2</v>
      </c>
      <c r="X58" s="51">
        <f t="shared" si="40"/>
        <v>2.8999999999999998E-2</v>
      </c>
      <c r="Y58" s="51">
        <f t="shared" si="40"/>
        <v>1.6728749999999999</v>
      </c>
      <c r="Z58" s="51">
        <f t="shared" si="40"/>
        <v>2.414625</v>
      </c>
      <c r="AA58" s="228"/>
      <c r="AB58" s="228"/>
      <c r="AC58" s="228"/>
      <c r="AD58" s="228"/>
      <c r="AE58" s="231"/>
      <c r="AH58" s="20"/>
    </row>
    <row r="59" spans="1:60" ht="15" thickBot="1">
      <c r="A59" s="294"/>
      <c r="B59" s="249"/>
      <c r="C59" s="22" t="s">
        <v>39</v>
      </c>
      <c r="D59" s="113">
        <f t="shared" ref="D59:K59" si="44">+IFERROR(AVERAGE(D9,D13,D17,D21,D25),"N/A")</f>
        <v>1.2</v>
      </c>
      <c r="E59" s="114" t="str">
        <f t="shared" si="44"/>
        <v>N/A</v>
      </c>
      <c r="F59" s="114" t="str">
        <f t="shared" si="44"/>
        <v>N/A</v>
      </c>
      <c r="G59" s="114">
        <f t="shared" si="44"/>
        <v>5.8</v>
      </c>
      <c r="H59" s="114">
        <f t="shared" si="44"/>
        <v>1</v>
      </c>
      <c r="I59" s="114" t="str">
        <f t="shared" si="44"/>
        <v>N/A</v>
      </c>
      <c r="J59" s="114">
        <f t="shared" si="44"/>
        <v>22.2</v>
      </c>
      <c r="K59" s="114">
        <f t="shared" si="44"/>
        <v>1.6</v>
      </c>
      <c r="L59" s="255"/>
      <c r="M59" s="255"/>
      <c r="N59" s="255"/>
      <c r="O59" s="255"/>
      <c r="P59" s="258"/>
      <c r="Q59" s="21"/>
      <c r="R59" s="252"/>
      <c r="S59" s="52">
        <f t="shared" si="40"/>
        <v>1.125E-2</v>
      </c>
      <c r="T59" s="53" t="str">
        <f t="shared" si="40"/>
        <v>N/A</v>
      </c>
      <c r="U59" s="53" t="str">
        <f t="shared" si="40"/>
        <v>N/A</v>
      </c>
      <c r="V59" s="53">
        <f t="shared" si="40"/>
        <v>2.7791666666666669E-2</v>
      </c>
      <c r="W59" s="53">
        <f t="shared" si="40"/>
        <v>4.5833333333333334E-3</v>
      </c>
      <c r="X59" s="53" t="str">
        <f t="shared" si="40"/>
        <v>N/A</v>
      </c>
      <c r="Y59" s="53">
        <f t="shared" si="40"/>
        <v>0.124875</v>
      </c>
      <c r="Z59" s="53">
        <f t="shared" si="40"/>
        <v>1.5666666666666669E-2</v>
      </c>
      <c r="AA59" s="229"/>
      <c r="AB59" s="229"/>
      <c r="AC59" s="229"/>
      <c r="AD59" s="229"/>
      <c r="AE59" s="232"/>
      <c r="AH59" s="20"/>
    </row>
    <row r="60" spans="1:60" ht="15" thickBot="1">
      <c r="AH60" s="20"/>
    </row>
    <row r="61" spans="1:60" ht="15" thickBot="1">
      <c r="AH61" s="224" t="s">
        <v>15</v>
      </c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6"/>
    </row>
    <row r="62" spans="1:60" ht="60">
      <c r="A62" s="242" t="s">
        <v>42</v>
      </c>
      <c r="B62" s="242"/>
      <c r="C62" s="243"/>
      <c r="D62" s="10" t="s">
        <v>18</v>
      </c>
      <c r="E62" s="10" t="s">
        <v>19</v>
      </c>
      <c r="F62" s="10" t="s">
        <v>20</v>
      </c>
      <c r="G62" s="10" t="s">
        <v>21</v>
      </c>
      <c r="H62" s="10" t="s">
        <v>22</v>
      </c>
      <c r="I62" s="10" t="s">
        <v>23</v>
      </c>
      <c r="J62" s="2" t="s">
        <v>24</v>
      </c>
      <c r="K62" s="10" t="s">
        <v>25</v>
      </c>
      <c r="L62" s="87" t="s">
        <v>26</v>
      </c>
      <c r="M62" s="87" t="s">
        <v>27</v>
      </c>
      <c r="N62" s="87" t="s">
        <v>28</v>
      </c>
      <c r="O62" s="87" t="s">
        <v>29</v>
      </c>
      <c r="P62" s="87" t="s">
        <v>30</v>
      </c>
      <c r="S62" s="10" t="s">
        <v>18</v>
      </c>
      <c r="T62" s="10" t="s">
        <v>19</v>
      </c>
      <c r="U62" s="10" t="s">
        <v>20</v>
      </c>
      <c r="V62" s="10" t="s">
        <v>21</v>
      </c>
      <c r="W62" s="10" t="s">
        <v>22</v>
      </c>
      <c r="X62" s="10" t="s">
        <v>23</v>
      </c>
      <c r="Y62" s="2" t="s">
        <v>24</v>
      </c>
      <c r="Z62" s="10" t="s">
        <v>25</v>
      </c>
      <c r="AA62" s="87" t="s">
        <v>26</v>
      </c>
      <c r="AB62" s="87" t="s">
        <v>27</v>
      </c>
      <c r="AC62" s="87" t="s">
        <v>28</v>
      </c>
      <c r="AD62" s="87" t="s">
        <v>29</v>
      </c>
      <c r="AE62" s="87" t="s">
        <v>30</v>
      </c>
      <c r="AH62" s="82" t="s">
        <v>18</v>
      </c>
      <c r="AI62" s="82" t="s">
        <v>19</v>
      </c>
      <c r="AJ62" s="89" t="s">
        <v>20</v>
      </c>
      <c r="AK62" s="82" t="s">
        <v>32</v>
      </c>
      <c r="AL62" s="82" t="s">
        <v>22</v>
      </c>
      <c r="AM62" s="82" t="s">
        <v>23</v>
      </c>
      <c r="AN62" s="2" t="s">
        <v>24</v>
      </c>
      <c r="AO62" s="82" t="s">
        <v>25</v>
      </c>
      <c r="AP62" s="90" t="s">
        <v>26</v>
      </c>
      <c r="AQ62" s="90" t="s">
        <v>27</v>
      </c>
      <c r="AR62" s="90" t="s">
        <v>28</v>
      </c>
      <c r="AS62" s="90" t="s">
        <v>29</v>
      </c>
      <c r="AT62" s="90" t="s">
        <v>30</v>
      </c>
      <c r="BD62" s="78" t="s">
        <v>26</v>
      </c>
      <c r="BE62" s="78" t="s">
        <v>27</v>
      </c>
      <c r="BF62" s="78" t="s">
        <v>28</v>
      </c>
      <c r="BG62" s="78" t="s">
        <v>29</v>
      </c>
      <c r="BH62" s="78" t="s">
        <v>30</v>
      </c>
    </row>
    <row r="63" spans="1:60">
      <c r="A63" s="244" t="s">
        <v>41</v>
      </c>
      <c r="B63" s="247">
        <f>+SUM(D63:K66)</f>
        <v>2320</v>
      </c>
      <c r="C63" s="22" t="s">
        <v>35</v>
      </c>
      <c r="D63" s="98">
        <v>19</v>
      </c>
      <c r="E63" s="99">
        <v>210</v>
      </c>
      <c r="F63" s="99">
        <v>210</v>
      </c>
      <c r="G63" s="99">
        <v>24</v>
      </c>
      <c r="H63" s="99">
        <v>6</v>
      </c>
      <c r="I63" s="99" t="s">
        <v>36</v>
      </c>
      <c r="J63" s="99">
        <v>933</v>
      </c>
      <c r="K63" s="99">
        <v>39</v>
      </c>
      <c r="L63" s="233">
        <v>21</v>
      </c>
      <c r="M63" s="233">
        <v>1</v>
      </c>
      <c r="N63" s="233">
        <v>11</v>
      </c>
      <c r="O63" s="233">
        <v>50</v>
      </c>
      <c r="P63" s="236">
        <v>220</v>
      </c>
      <c r="Q63" s="21"/>
      <c r="R63" s="239">
        <f>+SUM(S63:Z66)</f>
        <v>8.6980208333333309</v>
      </c>
      <c r="S63" s="58">
        <f>+IFERROR((D63*AH63)/$BK$2/$BK$3,"N/A")</f>
        <v>0.11281250000000001</v>
      </c>
      <c r="T63" s="59">
        <f t="shared" ref="T63:Z63" si="45">+IFERROR((E63*AI63)/$BK$2/$BK$3,"N/A")</f>
        <v>1.465625</v>
      </c>
      <c r="U63" s="59">
        <f t="shared" si="45"/>
        <v>0.17499999999999999</v>
      </c>
      <c r="V63" s="59">
        <f t="shared" si="45"/>
        <v>0.10500000000000001</v>
      </c>
      <c r="W63" s="59">
        <f t="shared" si="45"/>
        <v>2.7500000000000004E-2</v>
      </c>
      <c r="X63" s="59" t="str">
        <f t="shared" si="45"/>
        <v>N/A</v>
      </c>
      <c r="Y63" s="59">
        <f t="shared" si="45"/>
        <v>2.8184374999999999</v>
      </c>
      <c r="Z63" s="59">
        <f t="shared" si="45"/>
        <v>0.268125</v>
      </c>
      <c r="AA63" s="233">
        <f>+IFERROR((L63*AP63)/$BK$2/$BK$3,"N/A")</f>
        <v>0.4921875</v>
      </c>
      <c r="AB63" s="233">
        <f t="shared" ref="AB63:AE63" si="46">+IFERROR((M63*AQ63)/$BK$2/$BK$3,"N/A")</f>
        <v>0.05</v>
      </c>
      <c r="AC63" s="233">
        <f t="shared" si="46"/>
        <v>4.583333333333333E-2</v>
      </c>
      <c r="AD63" s="233">
        <f t="shared" si="46"/>
        <v>0.15625</v>
      </c>
      <c r="AE63" s="233">
        <f t="shared" si="46"/>
        <v>0.80208333333333337</v>
      </c>
      <c r="AF63" s="24"/>
      <c r="AG63" s="115" t="s">
        <v>35</v>
      </c>
      <c r="AH63" s="32">
        <v>57</v>
      </c>
      <c r="AI63" s="33">
        <v>67</v>
      </c>
      <c r="AJ63" s="33">
        <v>8</v>
      </c>
      <c r="AK63" s="33">
        <v>42</v>
      </c>
      <c r="AL63" s="33">
        <v>44</v>
      </c>
      <c r="AM63" s="33">
        <v>29</v>
      </c>
      <c r="AN63" s="33">
        <v>29</v>
      </c>
      <c r="AO63" s="33">
        <v>66</v>
      </c>
      <c r="AP63" s="227">
        <v>225</v>
      </c>
      <c r="AQ63" s="227">
        <v>480</v>
      </c>
      <c r="AR63" s="227">
        <v>40</v>
      </c>
      <c r="AS63" s="227">
        <v>30</v>
      </c>
      <c r="AT63" s="230">
        <v>35</v>
      </c>
    </row>
    <row r="64" spans="1:60">
      <c r="A64" s="245"/>
      <c r="B64" s="248"/>
      <c r="C64" s="22" t="s">
        <v>37</v>
      </c>
      <c r="D64" s="100">
        <v>4</v>
      </c>
      <c r="E64" s="101">
        <v>3</v>
      </c>
      <c r="F64" s="101" t="s">
        <v>36</v>
      </c>
      <c r="G64" s="101">
        <v>12</v>
      </c>
      <c r="H64" s="101">
        <v>3</v>
      </c>
      <c r="I64" s="101" t="s">
        <v>36</v>
      </c>
      <c r="J64" s="101">
        <v>233</v>
      </c>
      <c r="K64" s="101">
        <v>11</v>
      </c>
      <c r="L64" s="234"/>
      <c r="M64" s="234"/>
      <c r="N64" s="234"/>
      <c r="O64" s="234"/>
      <c r="P64" s="237"/>
      <c r="Q64" s="21"/>
      <c r="R64" s="240"/>
      <c r="S64" s="60">
        <f t="shared" ref="S64:S66" si="47">+IFERROR((D64*AH64)/$BK$2/$BK$3,"N/A")</f>
        <v>1.4166666666666666E-2</v>
      </c>
      <c r="T64" s="83">
        <f t="shared" ref="T64:T66" si="48">+IFERROR((E64*AI64)/$BK$2/$BK$3,"N/A")</f>
        <v>1.6875000000000001E-2</v>
      </c>
      <c r="U64" s="83" t="str">
        <f t="shared" ref="U64:U66" si="49">+IFERROR((F64*AJ64)/$BK$2/$BK$3,"N/A")</f>
        <v>N/A</v>
      </c>
      <c r="V64" s="83">
        <f t="shared" ref="V64:V66" si="50">+IFERROR((G64*AK64)/$BK$2/$BK$3,"N/A")</f>
        <v>5.2500000000000005E-2</v>
      </c>
      <c r="W64" s="83">
        <f t="shared" ref="W64:W66" si="51">+IFERROR((H64*AL64)/$BK$2/$BK$3,"N/A")</f>
        <v>1.3750000000000002E-2</v>
      </c>
      <c r="X64" s="83" t="str">
        <f t="shared" ref="X64:X66" si="52">+IFERROR((I64*AM64)/$BK$2/$BK$3,"N/A")</f>
        <v>N/A</v>
      </c>
      <c r="Y64" s="83">
        <f t="shared" ref="Y64:Y66" si="53">+IFERROR((J64*AN64)/$BK$2/$BK$3,"N/A")</f>
        <v>0.70385416666666667</v>
      </c>
      <c r="Z64" s="83">
        <f t="shared" ref="Z64:Z66" si="54">+IFERROR((K64*AO64)/$BK$2/$BK$3,"N/A")</f>
        <v>7.5624999999999998E-2</v>
      </c>
      <c r="AA64" s="234"/>
      <c r="AB64" s="234"/>
      <c r="AC64" s="234"/>
      <c r="AD64" s="234"/>
      <c r="AE64" s="234"/>
      <c r="AF64" s="25"/>
      <c r="AG64" s="115" t="s">
        <v>37</v>
      </c>
      <c r="AH64" s="35">
        <v>34</v>
      </c>
      <c r="AI64" s="6">
        <v>54</v>
      </c>
      <c r="AJ64" s="30">
        <v>8</v>
      </c>
      <c r="AK64" s="6">
        <v>42</v>
      </c>
      <c r="AL64" s="6">
        <v>44</v>
      </c>
      <c r="AM64" s="6">
        <v>29</v>
      </c>
      <c r="AN64" s="6">
        <v>29</v>
      </c>
      <c r="AO64" s="6">
        <v>66</v>
      </c>
      <c r="AP64" s="228"/>
      <c r="AQ64" s="228"/>
      <c r="AR64" s="228"/>
      <c r="AS64" s="228"/>
      <c r="AT64" s="231"/>
    </row>
    <row r="65" spans="1:46">
      <c r="A65" s="245"/>
      <c r="B65" s="248"/>
      <c r="C65" s="22" t="s">
        <v>38</v>
      </c>
      <c r="D65" s="100">
        <v>20</v>
      </c>
      <c r="E65" s="101" t="s">
        <v>36</v>
      </c>
      <c r="F65" s="101" t="s">
        <v>36</v>
      </c>
      <c r="G65" s="101">
        <v>50</v>
      </c>
      <c r="H65" s="101">
        <v>2</v>
      </c>
      <c r="I65" s="101">
        <v>11</v>
      </c>
      <c r="J65" s="101">
        <v>270</v>
      </c>
      <c r="K65" s="101">
        <v>222</v>
      </c>
      <c r="L65" s="234"/>
      <c r="M65" s="234"/>
      <c r="N65" s="234"/>
      <c r="O65" s="234"/>
      <c r="P65" s="237"/>
      <c r="Q65" s="21"/>
      <c r="R65" s="240"/>
      <c r="S65" s="60">
        <f t="shared" si="47"/>
        <v>7.0833333333333331E-2</v>
      </c>
      <c r="T65" s="83" t="str">
        <f t="shared" si="48"/>
        <v>N/A</v>
      </c>
      <c r="U65" s="83" t="str">
        <f t="shared" si="49"/>
        <v>N/A</v>
      </c>
      <c r="V65" s="83">
        <f t="shared" si="50"/>
        <v>0.23958333333333334</v>
      </c>
      <c r="W65" s="83">
        <f t="shared" si="51"/>
        <v>9.1666666666666667E-3</v>
      </c>
      <c r="X65" s="83">
        <f t="shared" si="52"/>
        <v>3.3229166666666664E-2</v>
      </c>
      <c r="Y65" s="83">
        <f t="shared" si="53"/>
        <v>0.81562500000000004</v>
      </c>
      <c r="Z65" s="83">
        <f t="shared" si="54"/>
        <v>1.5262499999999999</v>
      </c>
      <c r="AA65" s="234"/>
      <c r="AB65" s="234"/>
      <c r="AC65" s="234"/>
      <c r="AD65" s="234"/>
      <c r="AE65" s="234"/>
      <c r="AF65" s="25"/>
      <c r="AG65" s="115" t="s">
        <v>38</v>
      </c>
      <c r="AH65" s="35">
        <v>34</v>
      </c>
      <c r="AI65" s="6">
        <v>29</v>
      </c>
      <c r="AJ65" s="30">
        <v>8</v>
      </c>
      <c r="AK65" s="6">
        <v>46</v>
      </c>
      <c r="AL65" s="6">
        <v>44</v>
      </c>
      <c r="AM65" s="6">
        <v>29</v>
      </c>
      <c r="AN65" s="6">
        <v>29</v>
      </c>
      <c r="AO65" s="6">
        <v>66</v>
      </c>
      <c r="AP65" s="228"/>
      <c r="AQ65" s="228"/>
      <c r="AR65" s="228"/>
      <c r="AS65" s="228"/>
      <c r="AT65" s="231"/>
    </row>
    <row r="66" spans="1:46" ht="15" thickBot="1">
      <c r="A66" s="246"/>
      <c r="B66" s="249"/>
      <c r="C66" s="22" t="s">
        <v>39</v>
      </c>
      <c r="D66" s="102">
        <v>5</v>
      </c>
      <c r="E66" s="103" t="s">
        <v>36</v>
      </c>
      <c r="F66" s="103" t="s">
        <v>36</v>
      </c>
      <c r="G66" s="103">
        <v>5</v>
      </c>
      <c r="H66" s="103">
        <v>3</v>
      </c>
      <c r="I66" s="103" t="s">
        <v>36</v>
      </c>
      <c r="J66" s="103">
        <v>19</v>
      </c>
      <c r="K66" s="103">
        <v>6</v>
      </c>
      <c r="L66" s="235"/>
      <c r="M66" s="235"/>
      <c r="N66" s="235"/>
      <c r="O66" s="235"/>
      <c r="P66" s="238"/>
      <c r="Q66" s="21"/>
      <c r="R66" s="241"/>
      <c r="S66" s="61">
        <f t="shared" si="47"/>
        <v>1.7708333333333333E-2</v>
      </c>
      <c r="T66" s="62" t="str">
        <f t="shared" si="48"/>
        <v>N/A</v>
      </c>
      <c r="U66" s="62" t="str">
        <f t="shared" si="49"/>
        <v>N/A</v>
      </c>
      <c r="V66" s="62">
        <f t="shared" si="50"/>
        <v>2.3958333333333335E-2</v>
      </c>
      <c r="W66" s="62">
        <f t="shared" si="51"/>
        <v>1.3750000000000002E-2</v>
      </c>
      <c r="X66" s="62" t="str">
        <f t="shared" si="52"/>
        <v>N/A</v>
      </c>
      <c r="Y66" s="62">
        <f t="shared" si="53"/>
        <v>5.7395833333333333E-2</v>
      </c>
      <c r="Z66" s="62">
        <f t="shared" si="54"/>
        <v>4.1249999999999995E-2</v>
      </c>
      <c r="AA66" s="235"/>
      <c r="AB66" s="235"/>
      <c r="AC66" s="235"/>
      <c r="AD66" s="235"/>
      <c r="AE66" s="235"/>
      <c r="AF66" s="27"/>
      <c r="AG66" s="115" t="s">
        <v>39</v>
      </c>
      <c r="AH66" s="36">
        <v>34</v>
      </c>
      <c r="AI66" s="29">
        <v>29</v>
      </c>
      <c r="AJ66" s="31">
        <v>8</v>
      </c>
      <c r="AK66" s="29">
        <v>46</v>
      </c>
      <c r="AL66" s="29">
        <v>44</v>
      </c>
      <c r="AM66" s="29">
        <v>29</v>
      </c>
      <c r="AN66" s="29">
        <v>29</v>
      </c>
      <c r="AO66" s="29">
        <v>66</v>
      </c>
      <c r="AP66" s="229"/>
      <c r="AQ66" s="229"/>
      <c r="AR66" s="229"/>
      <c r="AS66" s="229"/>
      <c r="AT66" s="232"/>
    </row>
    <row r="67" spans="1:46">
      <c r="AH67" s="20"/>
    </row>
    <row r="68" spans="1:46">
      <c r="AH68" s="20"/>
    </row>
    <row r="69" spans="1:46">
      <c r="AH69" s="20"/>
    </row>
    <row r="79" spans="1:46">
      <c r="D79" s="220" t="s">
        <v>43</v>
      </c>
      <c r="E79" s="221"/>
      <c r="F79" s="222"/>
      <c r="G79" s="220" t="s">
        <v>44</v>
      </c>
      <c r="H79" s="221"/>
      <c r="I79" s="222"/>
    </row>
    <row r="80" spans="1:46" ht="15" thickBot="1">
      <c r="D80" s="123" t="s">
        <v>45</v>
      </c>
      <c r="E80" s="123" t="s">
        <v>46</v>
      </c>
      <c r="F80" s="123" t="s">
        <v>47</v>
      </c>
      <c r="G80" s="123" t="s">
        <v>48</v>
      </c>
      <c r="H80" s="123" t="s">
        <v>46</v>
      </c>
      <c r="I80" s="123" t="s">
        <v>47</v>
      </c>
      <c r="K80" s="123" t="s">
        <v>49</v>
      </c>
    </row>
    <row r="81" spans="3:16">
      <c r="C81" s="120">
        <v>45901</v>
      </c>
      <c r="D81" s="135"/>
      <c r="E81" s="30">
        <v>4</v>
      </c>
      <c r="F81" s="6">
        <v>1</v>
      </c>
      <c r="G81" s="135">
        <f>+B6</f>
        <v>2241</v>
      </c>
      <c r="H81" s="30">
        <v>4</v>
      </c>
      <c r="I81" s="30">
        <f>+F81</f>
        <v>1</v>
      </c>
      <c r="K81" s="30">
        <v>5</v>
      </c>
      <c r="L81" t="s">
        <v>50</v>
      </c>
    </row>
    <row r="82" spans="3:16">
      <c r="C82" s="121">
        <v>45931</v>
      </c>
      <c r="D82" s="135"/>
      <c r="E82" s="30">
        <v>5</v>
      </c>
      <c r="F82" s="6">
        <v>1</v>
      </c>
      <c r="G82" s="135">
        <f>+G81+4</f>
        <v>2245</v>
      </c>
      <c r="H82" s="30">
        <v>5</v>
      </c>
      <c r="I82" s="30">
        <f t="shared" ref="I82:I85" si="55">+F82</f>
        <v>1</v>
      </c>
      <c r="K82" s="30">
        <v>5</v>
      </c>
      <c r="L82" t="s">
        <v>50</v>
      </c>
      <c r="P82">
        <v>2241</v>
      </c>
    </row>
    <row r="83" spans="3:16">
      <c r="C83" s="121">
        <v>45962</v>
      </c>
      <c r="D83" s="135"/>
      <c r="E83" s="30">
        <f>6</f>
        <v>6</v>
      </c>
      <c r="F83" s="6">
        <v>1</v>
      </c>
      <c r="G83" s="135">
        <f>+B14</f>
        <v>2746</v>
      </c>
      <c r="H83" s="30">
        <f>+E83</f>
        <v>6</v>
      </c>
      <c r="I83" s="30">
        <f t="shared" si="55"/>
        <v>1</v>
      </c>
      <c r="K83" s="30">
        <v>5</v>
      </c>
      <c r="L83" t="s">
        <v>50</v>
      </c>
    </row>
    <row r="84" spans="3:16">
      <c r="C84" s="121">
        <v>45992</v>
      </c>
      <c r="D84" s="135"/>
      <c r="E84" s="30">
        <f>6+7</f>
        <v>13</v>
      </c>
      <c r="F84" s="6">
        <v>2</v>
      </c>
      <c r="G84" s="135">
        <f>+B18</f>
        <v>2288</v>
      </c>
      <c r="H84" s="30">
        <f t="shared" ref="H84" si="56">+E84</f>
        <v>13</v>
      </c>
      <c r="I84" s="30">
        <f t="shared" si="55"/>
        <v>2</v>
      </c>
      <c r="K84" s="30">
        <v>5</v>
      </c>
      <c r="L84" t="s">
        <v>51</v>
      </c>
    </row>
    <row r="85" spans="3:16">
      <c r="C85" s="121">
        <v>46023</v>
      </c>
      <c r="D85" s="135"/>
      <c r="E85" s="30">
        <f>6+7</f>
        <v>13</v>
      </c>
      <c r="F85" s="6">
        <v>3</v>
      </c>
      <c r="G85" s="135">
        <f>+B22</f>
        <v>1721</v>
      </c>
      <c r="H85" s="30">
        <v>10</v>
      </c>
      <c r="I85" s="30">
        <f t="shared" si="55"/>
        <v>3</v>
      </c>
      <c r="K85" s="30">
        <v>5</v>
      </c>
      <c r="L85" t="s">
        <v>51</v>
      </c>
      <c r="P85">
        <f>+H81*8*60*20</f>
        <v>38400</v>
      </c>
    </row>
    <row r="86" spans="3:16">
      <c r="C86" s="121">
        <v>46054</v>
      </c>
      <c r="D86" s="134"/>
      <c r="E86" s="30">
        <f>6+5.5</f>
        <v>11.5</v>
      </c>
      <c r="F86" s="6">
        <v>3</v>
      </c>
      <c r="K86" s="30">
        <v>2</v>
      </c>
      <c r="L86" t="s">
        <v>52</v>
      </c>
    </row>
    <row r="87" spans="3:16">
      <c r="C87" s="121">
        <v>46082</v>
      </c>
      <c r="D87" s="134"/>
      <c r="F87" s="6">
        <v>3</v>
      </c>
      <c r="K87" s="30">
        <v>2</v>
      </c>
      <c r="L87" t="s">
        <v>52</v>
      </c>
    </row>
    <row r="88" spans="3:16" ht="15" thickBot="1">
      <c r="C88" s="122">
        <v>46113</v>
      </c>
      <c r="D88" s="134"/>
      <c r="F88" s="6">
        <v>2</v>
      </c>
    </row>
    <row r="89" spans="3:16">
      <c r="C89" s="119"/>
      <c r="F89" s="6"/>
    </row>
    <row r="95" spans="3:16">
      <c r="D95" s="220" t="s">
        <v>43</v>
      </c>
      <c r="E95" s="221"/>
      <c r="F95" s="222"/>
      <c r="G95" s="220" t="s">
        <v>44</v>
      </c>
      <c r="H95" s="221"/>
      <c r="I95" s="222"/>
    </row>
    <row r="96" spans="3:16">
      <c r="D96" s="123" t="s">
        <v>45</v>
      </c>
      <c r="E96" s="123" t="s">
        <v>46</v>
      </c>
      <c r="F96" s="123" t="s">
        <v>47</v>
      </c>
      <c r="G96" s="123" t="s">
        <v>48</v>
      </c>
      <c r="H96" s="123" t="s">
        <v>46</v>
      </c>
      <c r="I96" s="123" t="s">
        <v>47</v>
      </c>
      <c r="J96" s="139" t="s">
        <v>49</v>
      </c>
      <c r="K96" s="140"/>
    </row>
    <row r="97" spans="3:16">
      <c r="C97" s="121">
        <v>45809</v>
      </c>
      <c r="D97" s="135" t="e">
        <f>+#REF!+L41</f>
        <v>#REF!</v>
      </c>
      <c r="E97" s="136" t="e">
        <f t="shared" ref="E97:E98" si="57">+(D97*$AG$22)/60/8/20</f>
        <v>#REF!</v>
      </c>
      <c r="F97" s="147">
        <v>1</v>
      </c>
      <c r="G97" s="146"/>
      <c r="H97" s="146"/>
      <c r="I97" s="146"/>
      <c r="J97" s="141">
        <v>5</v>
      </c>
      <c r="K97" s="140" t="s">
        <v>50</v>
      </c>
    </row>
    <row r="98" spans="3:16">
      <c r="C98" s="121">
        <v>45839</v>
      </c>
      <c r="D98" s="135" t="e">
        <f>+#REF!+L41</f>
        <v>#REF!</v>
      </c>
      <c r="E98" s="136" t="e">
        <f t="shared" si="57"/>
        <v>#REF!</v>
      </c>
      <c r="F98" s="74">
        <v>1</v>
      </c>
      <c r="G98" s="146"/>
      <c r="H98" s="146"/>
      <c r="I98" s="146"/>
      <c r="J98" s="141">
        <v>5</v>
      </c>
      <c r="K98" s="140" t="s">
        <v>50</v>
      </c>
    </row>
    <row r="99" spans="3:16">
      <c r="C99" s="121">
        <v>45870</v>
      </c>
      <c r="D99" s="135" t="e">
        <f>+#REF!+L41</f>
        <v>#REF!</v>
      </c>
      <c r="E99" s="136" t="e">
        <f>+(D99*$AG$22)/60/8/20</f>
        <v>#REF!</v>
      </c>
      <c r="F99" s="74">
        <v>1</v>
      </c>
      <c r="G99" s="146"/>
      <c r="H99" s="146"/>
      <c r="I99" s="146"/>
      <c r="J99" s="141">
        <v>5</v>
      </c>
      <c r="K99" s="140" t="s">
        <v>50</v>
      </c>
    </row>
    <row r="100" spans="3:16">
      <c r="C100" s="121">
        <v>45901</v>
      </c>
      <c r="D100" s="135">
        <v>2241</v>
      </c>
      <c r="E100" s="136">
        <f>+(D100*$AG$22)/60/8/20</f>
        <v>13.449309631028466</v>
      </c>
      <c r="F100" s="74">
        <v>1</v>
      </c>
      <c r="G100" s="135">
        <f>+G81</f>
        <v>2241</v>
      </c>
      <c r="H100" s="30">
        <v>4</v>
      </c>
      <c r="I100" s="6">
        <v>1</v>
      </c>
      <c r="J100" s="141">
        <v>5</v>
      </c>
      <c r="K100" s="140" t="s">
        <v>50</v>
      </c>
    </row>
    <row r="101" spans="3:16">
      <c r="C101" s="121">
        <v>45931</v>
      </c>
      <c r="D101" s="135">
        <v>2245</v>
      </c>
      <c r="E101" s="136">
        <f t="shared" ref="E101:E106" si="58">+(D101*$AG$22)/60/8/20</f>
        <v>13.473315538446636</v>
      </c>
      <c r="F101" s="74">
        <v>1</v>
      </c>
      <c r="G101" s="135">
        <f t="shared" ref="G101" si="59">+G82</f>
        <v>2245</v>
      </c>
      <c r="H101" s="30">
        <v>5</v>
      </c>
      <c r="I101" s="6">
        <v>1</v>
      </c>
      <c r="J101" s="141">
        <v>5</v>
      </c>
      <c r="K101" s="140" t="s">
        <v>50</v>
      </c>
    </row>
    <row r="102" spans="3:16">
      <c r="C102" s="121">
        <v>45962</v>
      </c>
      <c r="D102" s="135">
        <v>2743</v>
      </c>
      <c r="E102" s="136">
        <f t="shared" si="58"/>
        <v>16.462051012008519</v>
      </c>
      <c r="F102" s="74">
        <v>1</v>
      </c>
      <c r="G102" s="135">
        <f t="shared" ref="G102" si="60">+G83</f>
        <v>2746</v>
      </c>
      <c r="H102" s="30">
        <f>6+J102</f>
        <v>11</v>
      </c>
      <c r="I102" s="6">
        <v>1</v>
      </c>
      <c r="J102" s="141">
        <v>5</v>
      </c>
      <c r="K102" s="140" t="s">
        <v>51</v>
      </c>
    </row>
    <row r="103" spans="3:16">
      <c r="C103" s="121">
        <v>45992</v>
      </c>
      <c r="D103" s="135">
        <v>2285</v>
      </c>
      <c r="E103" s="136">
        <f t="shared" si="58"/>
        <v>13.713374612628314</v>
      </c>
      <c r="F103" s="74">
        <v>2</v>
      </c>
      <c r="G103" s="135">
        <f t="shared" ref="G103" si="61">+G84</f>
        <v>2288</v>
      </c>
      <c r="H103" s="30">
        <f>6+7+J103</f>
        <v>18</v>
      </c>
      <c r="I103" s="6">
        <v>2</v>
      </c>
      <c r="J103" s="141">
        <v>5</v>
      </c>
      <c r="K103" s="140" t="s">
        <v>51</v>
      </c>
      <c r="M103" s="137" t="s">
        <v>53</v>
      </c>
    </row>
    <row r="104" spans="3:16">
      <c r="C104" s="121">
        <v>46023</v>
      </c>
      <c r="D104" s="135">
        <v>1621</v>
      </c>
      <c r="E104" s="136">
        <f t="shared" si="58"/>
        <v>9.72839398121247</v>
      </c>
      <c r="F104" s="74">
        <v>3</v>
      </c>
      <c r="G104" s="135">
        <f t="shared" ref="G104" si="62">+G85</f>
        <v>1721</v>
      </c>
      <c r="H104" s="30">
        <f>6+7+J104</f>
        <v>18</v>
      </c>
      <c r="I104" s="6">
        <v>3</v>
      </c>
      <c r="J104" s="141">
        <v>5</v>
      </c>
      <c r="K104" s="140" t="s">
        <v>51</v>
      </c>
    </row>
    <row r="105" spans="3:16">
      <c r="C105" s="121">
        <v>46054</v>
      </c>
      <c r="D105" s="134">
        <f>+B56</f>
        <v>2268.9999999999995</v>
      </c>
      <c r="E105" s="136">
        <f t="shared" si="58"/>
        <v>13.617350982955639</v>
      </c>
      <c r="F105" s="74">
        <v>3</v>
      </c>
      <c r="G105" s="135">
        <f t="shared" ref="G105" si="63">+G86</f>
        <v>0</v>
      </c>
      <c r="H105" s="30">
        <f>6+5.5+J105</f>
        <v>13.5</v>
      </c>
      <c r="I105" s="6">
        <v>3</v>
      </c>
      <c r="J105" s="141">
        <v>2</v>
      </c>
      <c r="K105" s="140" t="s">
        <v>52</v>
      </c>
      <c r="M105" t="s">
        <v>54</v>
      </c>
    </row>
    <row r="106" spans="3:16">
      <c r="C106" s="121">
        <v>46082</v>
      </c>
      <c r="D106" s="134">
        <f>+D105</f>
        <v>2268.9999999999995</v>
      </c>
      <c r="E106" s="136">
        <f t="shared" si="58"/>
        <v>13.617350982955639</v>
      </c>
      <c r="F106" s="74">
        <v>3</v>
      </c>
      <c r="G106" s="135">
        <f t="shared" ref="G106" si="64">+G87</f>
        <v>0</v>
      </c>
      <c r="H106" s="30">
        <f>6+3+J106</f>
        <v>11</v>
      </c>
      <c r="I106" s="6">
        <v>3</v>
      </c>
      <c r="J106" s="141">
        <v>2</v>
      </c>
      <c r="K106" s="140" t="s">
        <v>52</v>
      </c>
      <c r="M106" t="s">
        <v>55</v>
      </c>
    </row>
    <row r="107" spans="3:16">
      <c r="C107" s="121">
        <v>46113</v>
      </c>
      <c r="D107" s="134"/>
      <c r="F107" s="74"/>
      <c r="J107" s="140"/>
      <c r="K107" s="140"/>
    </row>
    <row r="108" spans="3:16">
      <c r="C108" s="121">
        <v>46143</v>
      </c>
      <c r="F108" s="143"/>
    </row>
    <row r="109" spans="3:16">
      <c r="C109" s="121">
        <v>46174</v>
      </c>
      <c r="F109" s="143"/>
    </row>
    <row r="110" spans="3:16">
      <c r="C110" s="121">
        <v>46204</v>
      </c>
      <c r="F110" s="143"/>
      <c r="M110" s="145" t="s">
        <v>56</v>
      </c>
      <c r="N110" s="145"/>
      <c r="O110" s="145"/>
      <c r="P110" s="145"/>
    </row>
    <row r="111" spans="3:16">
      <c r="C111" s="121">
        <v>46235</v>
      </c>
      <c r="F111" s="143"/>
    </row>
    <row r="112" spans="3:16">
      <c r="C112" s="121">
        <v>46266</v>
      </c>
      <c r="F112" s="143"/>
    </row>
    <row r="113" spans="3:6">
      <c r="C113" s="121">
        <v>46296</v>
      </c>
      <c r="F113" s="143"/>
    </row>
    <row r="114" spans="3:6">
      <c r="F114" s="143"/>
    </row>
  </sheetData>
  <mergeCells count="205">
    <mergeCell ref="AG6:AG9"/>
    <mergeCell ref="AG10:AG13"/>
    <mergeCell ref="AG14:AG17"/>
    <mergeCell ref="R26:R29"/>
    <mergeCell ref="R30:R33"/>
    <mergeCell ref="R34:R37"/>
    <mergeCell ref="A56:A59"/>
    <mergeCell ref="B56:B59"/>
    <mergeCell ref="A30:A33"/>
    <mergeCell ref="A34:A37"/>
    <mergeCell ref="B26:B29"/>
    <mergeCell ref="B30:B33"/>
    <mergeCell ref="B34:B37"/>
    <mergeCell ref="A26:A29"/>
    <mergeCell ref="L26:L29"/>
    <mergeCell ref="M26:M29"/>
    <mergeCell ref="N26:N29"/>
    <mergeCell ref="O26:O29"/>
    <mergeCell ref="L34:L37"/>
    <mergeCell ref="M34:M37"/>
    <mergeCell ref="N34:N37"/>
    <mergeCell ref="O34:O37"/>
    <mergeCell ref="P34:P37"/>
    <mergeCell ref="P26:P29"/>
    <mergeCell ref="A22:A25"/>
    <mergeCell ref="B6:B9"/>
    <mergeCell ref="B10:B13"/>
    <mergeCell ref="B14:B17"/>
    <mergeCell ref="B18:B21"/>
    <mergeCell ref="B22:B25"/>
    <mergeCell ref="A6:A9"/>
    <mergeCell ref="A10:A13"/>
    <mergeCell ref="A14:A17"/>
    <mergeCell ref="A18:A21"/>
    <mergeCell ref="P22:P25"/>
    <mergeCell ref="L18:L21"/>
    <mergeCell ref="M18:M21"/>
    <mergeCell ref="N18:N21"/>
    <mergeCell ref="O18:O21"/>
    <mergeCell ref="P18:P21"/>
    <mergeCell ref="O30:O33"/>
    <mergeCell ref="P30:P33"/>
    <mergeCell ref="R22:R25"/>
    <mergeCell ref="L22:L25"/>
    <mergeCell ref="M22:M25"/>
    <mergeCell ref="N22:N25"/>
    <mergeCell ref="O22:O25"/>
    <mergeCell ref="L30:L33"/>
    <mergeCell ref="M30:M33"/>
    <mergeCell ref="N30:N33"/>
    <mergeCell ref="O6:O9"/>
    <mergeCell ref="P6:P9"/>
    <mergeCell ref="L14:L17"/>
    <mergeCell ref="M14:M17"/>
    <mergeCell ref="N14:N17"/>
    <mergeCell ref="O14:O17"/>
    <mergeCell ref="P14:P17"/>
    <mergeCell ref="L10:L13"/>
    <mergeCell ref="M10:M13"/>
    <mergeCell ref="N10:N13"/>
    <mergeCell ref="O10:O13"/>
    <mergeCell ref="P10:P13"/>
    <mergeCell ref="L6:L9"/>
    <mergeCell ref="M6:M9"/>
    <mergeCell ref="N6:N9"/>
    <mergeCell ref="AA6:AA9"/>
    <mergeCell ref="AB6:AB9"/>
    <mergeCell ref="AC6:AC9"/>
    <mergeCell ref="AD6:AD9"/>
    <mergeCell ref="AE6:AE9"/>
    <mergeCell ref="R6:R9"/>
    <mergeCell ref="R10:R13"/>
    <mergeCell ref="R14:R17"/>
    <mergeCell ref="R18:R21"/>
    <mergeCell ref="AA14:AA17"/>
    <mergeCell ref="AB14:AB17"/>
    <mergeCell ref="AC14:AC17"/>
    <mergeCell ref="AD14:AD17"/>
    <mergeCell ref="AE14:AE17"/>
    <mergeCell ref="AA10:AA13"/>
    <mergeCell ref="AB10:AB13"/>
    <mergeCell ref="AC10:AC13"/>
    <mergeCell ref="AD10:AD13"/>
    <mergeCell ref="AE10:AE13"/>
    <mergeCell ref="AG22:AG25"/>
    <mergeCell ref="AT26:AT29"/>
    <mergeCell ref="AP22:AP25"/>
    <mergeCell ref="AQ22:AQ25"/>
    <mergeCell ref="AR22:AR25"/>
    <mergeCell ref="AS22:AS25"/>
    <mergeCell ref="AT22:AT25"/>
    <mergeCell ref="AP18:AP21"/>
    <mergeCell ref="AA26:AA29"/>
    <mergeCell ref="AB26:AB29"/>
    <mergeCell ref="AC26:AC29"/>
    <mergeCell ref="AD26:AD29"/>
    <mergeCell ref="AE26:AE29"/>
    <mergeCell ref="AA22:AA25"/>
    <mergeCell ref="AB22:AB25"/>
    <mergeCell ref="AC22:AC25"/>
    <mergeCell ref="AD22:AD25"/>
    <mergeCell ref="AE22:AE25"/>
    <mergeCell ref="AA18:AA21"/>
    <mergeCell ref="AB18:AB21"/>
    <mergeCell ref="AC18:AC21"/>
    <mergeCell ref="AD18:AD21"/>
    <mergeCell ref="AE18:AE21"/>
    <mergeCell ref="AG18:AG21"/>
    <mergeCell ref="BE10:BE13"/>
    <mergeCell ref="BF10:BF13"/>
    <mergeCell ref="BG10:BG13"/>
    <mergeCell ref="BH10:BH13"/>
    <mergeCell ref="BD6:BD9"/>
    <mergeCell ref="BE6:BE9"/>
    <mergeCell ref="BF6:BF9"/>
    <mergeCell ref="BG6:BG9"/>
    <mergeCell ref="BH6:BH9"/>
    <mergeCell ref="BD10:BD13"/>
    <mergeCell ref="BE18:BE21"/>
    <mergeCell ref="BF18:BF21"/>
    <mergeCell ref="BG18:BG21"/>
    <mergeCell ref="BH18:BH21"/>
    <mergeCell ref="BD14:BD17"/>
    <mergeCell ref="BE14:BE17"/>
    <mergeCell ref="BF14:BF17"/>
    <mergeCell ref="BG14:BG17"/>
    <mergeCell ref="BH14:BH17"/>
    <mergeCell ref="BD18:BD21"/>
    <mergeCell ref="BE26:BE29"/>
    <mergeCell ref="BF26:BF29"/>
    <mergeCell ref="BG26:BG29"/>
    <mergeCell ref="BH26:BH29"/>
    <mergeCell ref="BD22:BD25"/>
    <mergeCell ref="BE22:BE25"/>
    <mergeCell ref="BF22:BF25"/>
    <mergeCell ref="BG22:BG25"/>
    <mergeCell ref="BH22:BH25"/>
    <mergeCell ref="BD26:BD29"/>
    <mergeCell ref="AP6:AP9"/>
    <mergeCell ref="AQ6:AQ9"/>
    <mergeCell ref="AR6:AR9"/>
    <mergeCell ref="AS6:AS9"/>
    <mergeCell ref="AT6:AT9"/>
    <mergeCell ref="AQ18:AQ21"/>
    <mergeCell ref="AR18:AR21"/>
    <mergeCell ref="AS18:AS21"/>
    <mergeCell ref="AT18:AT21"/>
    <mergeCell ref="AP14:AP17"/>
    <mergeCell ref="AQ14:AQ17"/>
    <mergeCell ref="AR14:AR17"/>
    <mergeCell ref="AS14:AS17"/>
    <mergeCell ref="AT14:AT17"/>
    <mergeCell ref="AP10:AP13"/>
    <mergeCell ref="AQ10:AQ13"/>
    <mergeCell ref="AR10:AR13"/>
    <mergeCell ref="AS10:AS13"/>
    <mergeCell ref="AT10:AT13"/>
    <mergeCell ref="R63:R66"/>
    <mergeCell ref="A55:C55"/>
    <mergeCell ref="A62:C62"/>
    <mergeCell ref="A63:A66"/>
    <mergeCell ref="B63:B66"/>
    <mergeCell ref="L63:L66"/>
    <mergeCell ref="R56:R59"/>
    <mergeCell ref="AH4:AT4"/>
    <mergeCell ref="L56:L59"/>
    <mergeCell ref="M56:M59"/>
    <mergeCell ref="N56:N59"/>
    <mergeCell ref="O56:O59"/>
    <mergeCell ref="P56:P59"/>
    <mergeCell ref="AA56:AA59"/>
    <mergeCell ref="AB56:AB59"/>
    <mergeCell ref="AC56:AC59"/>
    <mergeCell ref="AD56:AD59"/>
    <mergeCell ref="AE56:AE59"/>
    <mergeCell ref="R4:AE4"/>
    <mergeCell ref="R54:AE54"/>
    <mergeCell ref="AP26:AP29"/>
    <mergeCell ref="AQ26:AQ29"/>
    <mergeCell ref="AR26:AR29"/>
    <mergeCell ref="AS26:AS29"/>
    <mergeCell ref="D95:F95"/>
    <mergeCell ref="G95:I95"/>
    <mergeCell ref="D79:F79"/>
    <mergeCell ref="G79:I79"/>
    <mergeCell ref="AP39:AP42"/>
    <mergeCell ref="AQ39:AQ42"/>
    <mergeCell ref="AR39:AR42"/>
    <mergeCell ref="AS39:AS42"/>
    <mergeCell ref="AT39:AT42"/>
    <mergeCell ref="AH61:AT61"/>
    <mergeCell ref="AP63:AP66"/>
    <mergeCell ref="AQ63:AQ66"/>
    <mergeCell ref="AR63:AR66"/>
    <mergeCell ref="AS63:AS66"/>
    <mergeCell ref="AT63:AT66"/>
    <mergeCell ref="AA63:AA66"/>
    <mergeCell ref="AB63:AB66"/>
    <mergeCell ref="AC63:AC66"/>
    <mergeCell ref="AD63:AD66"/>
    <mergeCell ref="AE63:AE66"/>
    <mergeCell ref="M63:M66"/>
    <mergeCell ref="N63:N66"/>
    <mergeCell ref="O63:O66"/>
    <mergeCell ref="P63:P6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155F-CA0E-493A-AB59-04D0B8FB5F94}">
  <dimension ref="A2:T138"/>
  <sheetViews>
    <sheetView showGridLines="0" topLeftCell="B113" zoomScale="60" zoomScaleNormal="60" workbookViewId="0">
      <selection activeCell="C143" sqref="C143"/>
    </sheetView>
  </sheetViews>
  <sheetFormatPr defaultColWidth="11.42578125" defaultRowHeight="14.45"/>
  <cols>
    <col min="1" max="1" width="70.85546875" customWidth="1"/>
    <col min="2" max="2" width="50.5703125" customWidth="1"/>
    <col min="3" max="3" width="37.42578125" customWidth="1"/>
    <col min="4" max="4" width="28.85546875" customWidth="1"/>
    <col min="5" max="5" width="14.42578125" customWidth="1"/>
    <col min="6" max="6" width="19" customWidth="1"/>
    <col min="7" max="7" width="17.7109375" customWidth="1"/>
    <col min="9" max="9" width="11.85546875" customWidth="1"/>
    <col min="10" max="10" width="13.7109375" customWidth="1"/>
    <col min="14" max="14" width="13" customWidth="1"/>
    <col min="19" max="19" width="11.85546875" customWidth="1"/>
    <col min="29" max="29" width="19.140625" customWidth="1"/>
  </cols>
  <sheetData>
    <row r="2" spans="1:14" ht="15" thickBot="1"/>
    <row r="3" spans="1:14" ht="21.6" thickBot="1">
      <c r="B3" s="301" t="s">
        <v>57</v>
      </c>
      <c r="C3" s="302"/>
      <c r="D3" s="302"/>
      <c r="E3" s="302"/>
      <c r="F3" s="302"/>
      <c r="G3" s="302"/>
      <c r="H3" s="302"/>
      <c r="I3" s="302"/>
      <c r="J3" s="303" t="s">
        <v>58</v>
      </c>
      <c r="K3" s="304"/>
      <c r="L3" s="304"/>
      <c r="M3" s="304"/>
      <c r="N3" s="305"/>
    </row>
    <row r="4" spans="1:14" ht="34.5" customHeight="1" thickBot="1">
      <c r="B4" s="165" t="s">
        <v>18</v>
      </c>
      <c r="C4" s="165" t="s">
        <v>19</v>
      </c>
      <c r="D4" s="1" t="s">
        <v>20</v>
      </c>
      <c r="E4" s="165" t="s">
        <v>59</v>
      </c>
      <c r="F4" s="165" t="s">
        <v>22</v>
      </c>
      <c r="G4" s="165" t="s">
        <v>23</v>
      </c>
      <c r="H4" s="165" t="s">
        <v>34</v>
      </c>
      <c r="I4" s="165" t="s">
        <v>25</v>
      </c>
      <c r="J4" s="78" t="s">
        <v>26</v>
      </c>
      <c r="K4" s="78" t="s">
        <v>27</v>
      </c>
      <c r="L4" s="78" t="s">
        <v>28</v>
      </c>
      <c r="M4" s="78" t="s">
        <v>29</v>
      </c>
      <c r="N4" s="78" t="s">
        <v>30</v>
      </c>
    </row>
    <row r="5" spans="1:14">
      <c r="A5" s="22" t="s">
        <v>35</v>
      </c>
      <c r="B5" s="32">
        <f>+T19</f>
        <v>62</v>
      </c>
      <c r="C5" s="33">
        <f>+T23</f>
        <v>67</v>
      </c>
      <c r="D5" s="33">
        <f>+T27</f>
        <v>8</v>
      </c>
      <c r="E5" s="33">
        <f>+T31</f>
        <v>42</v>
      </c>
      <c r="F5" s="33">
        <f>+T35</f>
        <v>44</v>
      </c>
      <c r="G5" s="33">
        <f>+T39</f>
        <v>29</v>
      </c>
      <c r="H5" s="33">
        <f>+T43</f>
        <v>54</v>
      </c>
      <c r="I5" s="34">
        <f>+T47</f>
        <v>94</v>
      </c>
      <c r="J5" s="306">
        <f>+$T51</f>
        <v>225</v>
      </c>
      <c r="K5" s="306">
        <f>+$T52</f>
        <v>480</v>
      </c>
      <c r="L5" s="306">
        <f>+$T53</f>
        <v>40</v>
      </c>
      <c r="M5" s="306">
        <f>+$T54</f>
        <v>30</v>
      </c>
      <c r="N5" s="309">
        <f>+$T55</f>
        <v>45</v>
      </c>
    </row>
    <row r="6" spans="1:14">
      <c r="A6" s="22" t="s">
        <v>37</v>
      </c>
      <c r="B6" s="35">
        <f>+T20</f>
        <v>90</v>
      </c>
      <c r="C6" s="6">
        <f>+T24</f>
        <v>54</v>
      </c>
      <c r="D6" s="30">
        <f>+T28</f>
        <v>8</v>
      </c>
      <c r="E6" s="6">
        <f>+T32</f>
        <v>42</v>
      </c>
      <c r="F6" s="6">
        <f>+T36</f>
        <v>44</v>
      </c>
      <c r="G6" s="6">
        <f>+T40</f>
        <v>29</v>
      </c>
      <c r="H6" s="6">
        <f>+T44</f>
        <v>54</v>
      </c>
      <c r="I6" s="57">
        <f>+T48</f>
        <v>94</v>
      </c>
      <c r="J6" s="307"/>
      <c r="K6" s="307"/>
      <c r="L6" s="307"/>
      <c r="M6" s="307"/>
      <c r="N6" s="310"/>
    </row>
    <row r="7" spans="1:14">
      <c r="A7" s="22" t="s">
        <v>38</v>
      </c>
      <c r="B7" s="35">
        <f>+T21</f>
        <v>90</v>
      </c>
      <c r="C7" s="6">
        <f>+T25</f>
        <v>29</v>
      </c>
      <c r="D7" s="30">
        <f>+T29</f>
        <v>8</v>
      </c>
      <c r="E7" s="6">
        <f>+T33</f>
        <v>46</v>
      </c>
      <c r="F7" s="6">
        <f>+T37</f>
        <v>44</v>
      </c>
      <c r="G7" s="6">
        <f>+T41</f>
        <v>29</v>
      </c>
      <c r="H7" s="6">
        <f>+T45</f>
        <v>54</v>
      </c>
      <c r="I7" s="57">
        <f>+T49</f>
        <v>94</v>
      </c>
      <c r="J7" s="307"/>
      <c r="K7" s="307"/>
      <c r="L7" s="307"/>
      <c r="M7" s="307"/>
      <c r="N7" s="310"/>
    </row>
    <row r="8" spans="1:14" ht="15" thickBot="1">
      <c r="A8" s="22" t="s">
        <v>39</v>
      </c>
      <c r="B8" s="36">
        <f>+T22</f>
        <v>90</v>
      </c>
      <c r="C8" s="29">
        <f>+T26</f>
        <v>29</v>
      </c>
      <c r="D8" s="31">
        <f>+T30</f>
        <v>8</v>
      </c>
      <c r="E8" s="29">
        <f>+T34</f>
        <v>46</v>
      </c>
      <c r="F8" s="29">
        <f>+T38</f>
        <v>44</v>
      </c>
      <c r="G8" s="29">
        <f>+T42</f>
        <v>29</v>
      </c>
      <c r="H8" s="29">
        <f>+T46</f>
        <v>54</v>
      </c>
      <c r="I8" s="37">
        <f>+T50</f>
        <v>94</v>
      </c>
      <c r="J8" s="308"/>
      <c r="K8" s="308"/>
      <c r="L8" s="308"/>
      <c r="M8" s="308"/>
      <c r="N8" s="311"/>
    </row>
    <row r="13" spans="1:14">
      <c r="G13">
        <f>+SUM(IF(D32=1,(1*$C$60),0)+IF(E32=1,(1*$C$63),0)+IF(F32=1,(1*$C$68),0))</f>
        <v>29</v>
      </c>
    </row>
    <row r="17" spans="1:20">
      <c r="O17" s="72" t="s">
        <v>26</v>
      </c>
      <c r="P17" s="72" t="s">
        <v>27</v>
      </c>
      <c r="Q17" s="72" t="s">
        <v>28</v>
      </c>
      <c r="R17" s="72" t="s">
        <v>29</v>
      </c>
      <c r="S17" s="72" t="s">
        <v>30</v>
      </c>
    </row>
    <row r="18" spans="1:20">
      <c r="A18" s="63" t="s">
        <v>60</v>
      </c>
      <c r="B18" s="63" t="s">
        <v>61</v>
      </c>
      <c r="C18" s="63" t="s">
        <v>62</v>
      </c>
      <c r="D18" s="66" t="s">
        <v>63</v>
      </c>
      <c r="E18" s="66" t="s">
        <v>64</v>
      </c>
      <c r="F18" s="66" t="s">
        <v>65</v>
      </c>
      <c r="G18" s="66" t="s">
        <v>66</v>
      </c>
      <c r="H18" s="66" t="s">
        <v>67</v>
      </c>
      <c r="I18" s="66" t="s">
        <v>68</v>
      </c>
      <c r="J18" s="66" t="s">
        <v>69</v>
      </c>
      <c r="K18" s="66" t="s">
        <v>70</v>
      </c>
      <c r="L18" s="66" t="s">
        <v>71</v>
      </c>
      <c r="M18" s="66" t="s">
        <v>72</v>
      </c>
      <c r="N18" s="66" t="s">
        <v>73</v>
      </c>
      <c r="O18" s="78" t="s">
        <v>74</v>
      </c>
      <c r="P18" s="78" t="s">
        <v>75</v>
      </c>
      <c r="Q18" s="78" t="s">
        <v>76</v>
      </c>
      <c r="R18" s="78" t="s">
        <v>77</v>
      </c>
      <c r="S18" s="78" t="s">
        <v>78</v>
      </c>
      <c r="T18" s="63" t="s">
        <v>79</v>
      </c>
    </row>
    <row r="19" spans="1:20">
      <c r="A19" s="71" t="s">
        <v>18</v>
      </c>
      <c r="B19" s="7" t="s">
        <v>35</v>
      </c>
      <c r="C19" s="64" t="str">
        <f>+_xlfn.CONCAT(A19," - ",B19)</f>
        <v>Derecho de acceso - BNPL</v>
      </c>
      <c r="D19" s="67">
        <v>1</v>
      </c>
      <c r="E19" s="67">
        <v>1</v>
      </c>
      <c r="F19" s="67">
        <v>1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8" t="s">
        <v>36</v>
      </c>
      <c r="P19" s="68" t="s">
        <v>36</v>
      </c>
      <c r="Q19" s="68" t="s">
        <v>36</v>
      </c>
      <c r="R19" s="68" t="s">
        <v>36</v>
      </c>
      <c r="S19" s="68" t="s">
        <v>36</v>
      </c>
      <c r="T19" s="65">
        <f t="shared" ref="T19:T55" si="0">+SUM(IF(D19=1,(1*$C$60),0)+IF(E19=1,(1*$C$63),0)+IF(F19=1,(1*$C$68),0)+IF(G19=1,(1*$C$75),0)+IF(H19=1,(1*$C$81),0)+IF(I19=1,(1*$C$86),0)+IF(J19=1,(1*$C$91),0)+IF(K19=1,(1*$C$96),0)+IF(L19=1,(1*$C$101),0)+IF(M19=1,(1*$C$106),0)+IF(N19=1,(1*$C$111),0)+IF(O19=1,(1*$C$115),0)+IF(P19=1,(1*$C$121),0)+IF(Q19=1,(1*$C$124),0)+IF(R19=1,(1*$C$129),0)+IF(S19=1,(1*$C$133),0))</f>
        <v>62</v>
      </c>
    </row>
    <row r="20" spans="1:20">
      <c r="A20" s="71" t="s">
        <v>18</v>
      </c>
      <c r="B20" s="7" t="s">
        <v>37</v>
      </c>
      <c r="C20" s="64" t="str">
        <f t="shared" ref="C20:C55" si="1">+_xlfn.CONCAT(A20," - ",B20)</f>
        <v>Derecho de acceso - Amz GIL</v>
      </c>
      <c r="D20" s="67">
        <v>1</v>
      </c>
      <c r="E20" s="68">
        <v>1</v>
      </c>
      <c r="F20" s="68">
        <v>0</v>
      </c>
      <c r="G20" s="68">
        <v>1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8" t="s">
        <v>36</v>
      </c>
      <c r="P20" s="68" t="s">
        <v>36</v>
      </c>
      <c r="Q20" s="68" t="s">
        <v>36</v>
      </c>
      <c r="R20" s="68" t="s">
        <v>36</v>
      </c>
      <c r="S20" s="68" t="s">
        <v>36</v>
      </c>
      <c r="T20" s="65">
        <f t="shared" si="0"/>
        <v>90</v>
      </c>
    </row>
    <row r="21" spans="1:20">
      <c r="A21" s="71" t="s">
        <v>18</v>
      </c>
      <c r="B21" s="7" t="s">
        <v>38</v>
      </c>
      <c r="C21" s="64" t="str">
        <f t="shared" si="1"/>
        <v>Derecho de acceso - CB</v>
      </c>
      <c r="D21" s="67">
        <v>1</v>
      </c>
      <c r="E21" s="68">
        <v>1</v>
      </c>
      <c r="F21" s="68">
        <v>0</v>
      </c>
      <c r="G21" s="68">
        <v>1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8" t="s">
        <v>36</v>
      </c>
      <c r="P21" s="68" t="s">
        <v>36</v>
      </c>
      <c r="Q21" s="68" t="s">
        <v>36</v>
      </c>
      <c r="R21" s="68" t="s">
        <v>36</v>
      </c>
      <c r="S21" s="68" t="s">
        <v>36</v>
      </c>
      <c r="T21" s="65">
        <f t="shared" si="0"/>
        <v>90</v>
      </c>
    </row>
    <row r="22" spans="1:20">
      <c r="A22" s="71" t="s">
        <v>18</v>
      </c>
      <c r="B22" s="7" t="s">
        <v>39</v>
      </c>
      <c r="C22" s="64" t="str">
        <f t="shared" si="1"/>
        <v>Derecho de acceso - Branch</v>
      </c>
      <c r="D22" s="67">
        <v>1</v>
      </c>
      <c r="E22" s="68">
        <v>1</v>
      </c>
      <c r="F22" s="68">
        <v>0</v>
      </c>
      <c r="G22" s="68">
        <v>1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8" t="s">
        <v>36</v>
      </c>
      <c r="P22" s="68" t="s">
        <v>36</v>
      </c>
      <c r="Q22" s="68" t="s">
        <v>36</v>
      </c>
      <c r="R22" s="68" t="s">
        <v>36</v>
      </c>
      <c r="S22" s="68" t="s">
        <v>36</v>
      </c>
      <c r="T22" s="65">
        <f t="shared" si="0"/>
        <v>90</v>
      </c>
    </row>
    <row r="23" spans="1:20">
      <c r="A23" s="71" t="s">
        <v>19</v>
      </c>
      <c r="B23" s="7" t="s">
        <v>35</v>
      </c>
      <c r="C23" s="64" t="str">
        <f t="shared" si="1"/>
        <v>Derecho de rectificación - BNPL</v>
      </c>
      <c r="D23" s="67">
        <v>1</v>
      </c>
      <c r="E23" s="68">
        <v>1</v>
      </c>
      <c r="F23" s="68">
        <v>0</v>
      </c>
      <c r="G23" s="68">
        <v>0</v>
      </c>
      <c r="H23" s="67">
        <v>1</v>
      </c>
      <c r="I23" s="67">
        <v>1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8" t="s">
        <v>36</v>
      </c>
      <c r="P23" s="68" t="s">
        <v>36</v>
      </c>
      <c r="Q23" s="68" t="s">
        <v>36</v>
      </c>
      <c r="R23" s="68" t="s">
        <v>36</v>
      </c>
      <c r="S23" s="68" t="s">
        <v>36</v>
      </c>
      <c r="T23" s="65">
        <f t="shared" si="0"/>
        <v>67</v>
      </c>
    </row>
    <row r="24" spans="1:20">
      <c r="A24" s="71" t="s">
        <v>19</v>
      </c>
      <c r="B24" s="7" t="s">
        <v>37</v>
      </c>
      <c r="C24" s="64" t="str">
        <f t="shared" si="1"/>
        <v>Derecho de rectificación - Amz GIL</v>
      </c>
      <c r="D24" s="67">
        <v>1</v>
      </c>
      <c r="E24" s="68">
        <v>1</v>
      </c>
      <c r="F24" s="68">
        <v>0</v>
      </c>
      <c r="G24" s="68">
        <v>0</v>
      </c>
      <c r="H24" s="67">
        <v>1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8" t="s">
        <v>36</v>
      </c>
      <c r="P24" s="68" t="s">
        <v>36</v>
      </c>
      <c r="Q24" s="68" t="s">
        <v>36</v>
      </c>
      <c r="R24" s="68" t="s">
        <v>36</v>
      </c>
      <c r="S24" s="68" t="s">
        <v>36</v>
      </c>
      <c r="T24" s="65">
        <f t="shared" si="0"/>
        <v>54</v>
      </c>
    </row>
    <row r="25" spans="1:20">
      <c r="A25" s="71" t="s">
        <v>19</v>
      </c>
      <c r="B25" s="7" t="s">
        <v>38</v>
      </c>
      <c r="C25" s="64" t="str">
        <f t="shared" si="1"/>
        <v>Derecho de rectificación - CB</v>
      </c>
      <c r="D25" s="67">
        <v>1</v>
      </c>
      <c r="E25" s="68">
        <v>1</v>
      </c>
      <c r="F25" s="68">
        <v>0</v>
      </c>
      <c r="G25" s="68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8" t="s">
        <v>36</v>
      </c>
      <c r="P25" s="68" t="s">
        <v>36</v>
      </c>
      <c r="Q25" s="68" t="s">
        <v>36</v>
      </c>
      <c r="R25" s="68" t="s">
        <v>36</v>
      </c>
      <c r="S25" s="68" t="s">
        <v>36</v>
      </c>
      <c r="T25" s="65">
        <f t="shared" si="0"/>
        <v>29</v>
      </c>
    </row>
    <row r="26" spans="1:20">
      <c r="A26" s="71" t="s">
        <v>19</v>
      </c>
      <c r="B26" s="7" t="s">
        <v>39</v>
      </c>
      <c r="C26" s="64" t="str">
        <f t="shared" si="1"/>
        <v>Derecho de rectificación - Branch</v>
      </c>
      <c r="D26" s="67">
        <v>1</v>
      </c>
      <c r="E26" s="68">
        <v>1</v>
      </c>
      <c r="F26" s="68">
        <v>0</v>
      </c>
      <c r="G26" s="68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8" t="s">
        <v>36</v>
      </c>
      <c r="P26" s="68" t="s">
        <v>36</v>
      </c>
      <c r="Q26" s="68" t="s">
        <v>36</v>
      </c>
      <c r="R26" s="68" t="s">
        <v>36</v>
      </c>
      <c r="S26" s="68" t="s">
        <v>36</v>
      </c>
      <c r="T26" s="65">
        <f t="shared" si="0"/>
        <v>29</v>
      </c>
    </row>
    <row r="27" spans="1:20">
      <c r="A27" s="71" t="s">
        <v>20</v>
      </c>
      <c r="B27" s="7" t="s">
        <v>35</v>
      </c>
      <c r="C27" s="64" t="str">
        <f t="shared" si="1"/>
        <v>Derecho de rectificación - Cartas físicas - BNPL</v>
      </c>
      <c r="D27" s="67">
        <v>1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 t="s">
        <v>36</v>
      </c>
      <c r="P27" s="68" t="s">
        <v>36</v>
      </c>
      <c r="Q27" s="68" t="s">
        <v>36</v>
      </c>
      <c r="R27" s="68" t="s">
        <v>36</v>
      </c>
      <c r="S27" s="68" t="s">
        <v>36</v>
      </c>
      <c r="T27" s="65">
        <f t="shared" si="0"/>
        <v>8</v>
      </c>
    </row>
    <row r="28" spans="1:20">
      <c r="A28" s="71" t="s">
        <v>20</v>
      </c>
      <c r="B28" s="7" t="s">
        <v>37</v>
      </c>
      <c r="C28" s="64" t="str">
        <f t="shared" si="1"/>
        <v>Derecho de rectificación - Cartas físicas - Amz GIL</v>
      </c>
      <c r="D28" s="67">
        <v>1</v>
      </c>
      <c r="E28" s="68">
        <v>0</v>
      </c>
      <c r="F28" s="68">
        <v>0</v>
      </c>
      <c r="G28" s="68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8" t="s">
        <v>36</v>
      </c>
      <c r="P28" s="68" t="s">
        <v>36</v>
      </c>
      <c r="Q28" s="68" t="s">
        <v>36</v>
      </c>
      <c r="R28" s="68" t="s">
        <v>36</v>
      </c>
      <c r="S28" s="68" t="s">
        <v>36</v>
      </c>
      <c r="T28" s="65">
        <f t="shared" si="0"/>
        <v>8</v>
      </c>
    </row>
    <row r="29" spans="1:20">
      <c r="A29" s="71" t="s">
        <v>20</v>
      </c>
      <c r="B29" s="7" t="s">
        <v>38</v>
      </c>
      <c r="C29" s="64" t="str">
        <f t="shared" si="1"/>
        <v>Derecho de rectificación - Cartas físicas - CB</v>
      </c>
      <c r="D29" s="67">
        <v>1</v>
      </c>
      <c r="E29" s="68">
        <v>0</v>
      </c>
      <c r="F29" s="68">
        <v>0</v>
      </c>
      <c r="G29" s="68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8" t="s">
        <v>36</v>
      </c>
      <c r="P29" s="68" t="s">
        <v>36</v>
      </c>
      <c r="Q29" s="68" t="s">
        <v>36</v>
      </c>
      <c r="R29" s="68" t="s">
        <v>36</v>
      </c>
      <c r="S29" s="68" t="s">
        <v>36</v>
      </c>
      <c r="T29" s="65">
        <f t="shared" si="0"/>
        <v>8</v>
      </c>
    </row>
    <row r="30" spans="1:20">
      <c r="A30" s="71" t="s">
        <v>20</v>
      </c>
      <c r="B30" s="7" t="s">
        <v>39</v>
      </c>
      <c r="C30" s="64" t="str">
        <f t="shared" si="1"/>
        <v>Derecho de rectificación - Cartas físicas - Branch</v>
      </c>
      <c r="D30" s="67">
        <v>1</v>
      </c>
      <c r="E30" s="68">
        <v>0</v>
      </c>
      <c r="F30" s="68">
        <v>0</v>
      </c>
      <c r="G30" s="68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8" t="s">
        <v>36</v>
      </c>
      <c r="P30" s="68" t="s">
        <v>36</v>
      </c>
      <c r="Q30" s="68" t="s">
        <v>36</v>
      </c>
      <c r="R30" s="68" t="s">
        <v>36</v>
      </c>
      <c r="S30" s="68" t="s">
        <v>36</v>
      </c>
      <c r="T30" s="65">
        <f t="shared" si="0"/>
        <v>8</v>
      </c>
    </row>
    <row r="31" spans="1:20">
      <c r="A31" s="71" t="s">
        <v>80</v>
      </c>
      <c r="B31" s="7" t="s">
        <v>35</v>
      </c>
      <c r="C31" s="64" t="str">
        <f t="shared" si="1"/>
        <v>Derecho de supresión - BNPL</v>
      </c>
      <c r="D31" s="67">
        <v>1</v>
      </c>
      <c r="E31" s="68">
        <v>1</v>
      </c>
      <c r="F31" s="68">
        <v>0</v>
      </c>
      <c r="G31" s="68">
        <v>0</v>
      </c>
      <c r="H31" s="67">
        <v>0</v>
      </c>
      <c r="I31" s="67">
        <v>1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8" t="s">
        <v>36</v>
      </c>
      <c r="P31" s="68" t="s">
        <v>36</v>
      </c>
      <c r="Q31" s="68" t="s">
        <v>36</v>
      </c>
      <c r="R31" s="68" t="s">
        <v>36</v>
      </c>
      <c r="S31" s="68" t="s">
        <v>36</v>
      </c>
      <c r="T31" s="65">
        <f t="shared" si="0"/>
        <v>42</v>
      </c>
    </row>
    <row r="32" spans="1:20">
      <c r="A32" s="71" t="s">
        <v>80</v>
      </c>
      <c r="B32" s="7" t="s">
        <v>37</v>
      </c>
      <c r="C32" s="64" t="str">
        <f t="shared" si="1"/>
        <v>Derecho de supresión - Amz GIL</v>
      </c>
      <c r="D32" s="67">
        <v>1</v>
      </c>
      <c r="E32" s="68">
        <v>1</v>
      </c>
      <c r="F32" s="68">
        <v>0</v>
      </c>
      <c r="G32" s="68">
        <v>0</v>
      </c>
      <c r="H32" s="67">
        <v>0</v>
      </c>
      <c r="I32" s="67">
        <v>1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8" t="s">
        <v>36</v>
      </c>
      <c r="P32" s="68" t="s">
        <v>36</v>
      </c>
      <c r="Q32" s="68" t="s">
        <v>36</v>
      </c>
      <c r="R32" s="68" t="s">
        <v>36</v>
      </c>
      <c r="S32" s="68" t="s">
        <v>36</v>
      </c>
      <c r="T32" s="65">
        <f t="shared" si="0"/>
        <v>42</v>
      </c>
    </row>
    <row r="33" spans="1:20">
      <c r="A33" s="71" t="s">
        <v>80</v>
      </c>
      <c r="B33" s="7" t="s">
        <v>38</v>
      </c>
      <c r="C33" s="64" t="str">
        <f t="shared" si="1"/>
        <v>Derecho de supresión - CB</v>
      </c>
      <c r="D33" s="67">
        <v>1</v>
      </c>
      <c r="E33" s="68">
        <v>1</v>
      </c>
      <c r="F33" s="68">
        <v>0</v>
      </c>
      <c r="G33" s="68">
        <v>0</v>
      </c>
      <c r="H33" s="67">
        <v>0</v>
      </c>
      <c r="I33" s="67">
        <v>0</v>
      </c>
      <c r="J33" s="67">
        <v>1</v>
      </c>
      <c r="K33" s="67">
        <v>0</v>
      </c>
      <c r="L33" s="67">
        <v>0</v>
      </c>
      <c r="M33" s="67">
        <v>0</v>
      </c>
      <c r="N33" s="67">
        <v>0</v>
      </c>
      <c r="O33" s="68" t="s">
        <v>36</v>
      </c>
      <c r="P33" s="68" t="s">
        <v>36</v>
      </c>
      <c r="Q33" s="68" t="s">
        <v>36</v>
      </c>
      <c r="R33" s="68" t="s">
        <v>36</v>
      </c>
      <c r="S33" s="68" t="s">
        <v>36</v>
      </c>
      <c r="T33" s="65">
        <f t="shared" si="0"/>
        <v>46</v>
      </c>
    </row>
    <row r="34" spans="1:20">
      <c r="A34" s="71" t="s">
        <v>80</v>
      </c>
      <c r="B34" s="7" t="s">
        <v>39</v>
      </c>
      <c r="C34" s="64" t="str">
        <f t="shared" si="1"/>
        <v>Derecho de supresión - Branch</v>
      </c>
      <c r="D34" s="67">
        <v>1</v>
      </c>
      <c r="E34" s="68">
        <v>1</v>
      </c>
      <c r="F34" s="68">
        <v>0</v>
      </c>
      <c r="G34" s="68">
        <v>0</v>
      </c>
      <c r="H34" s="67">
        <v>0</v>
      </c>
      <c r="I34" s="67">
        <v>0</v>
      </c>
      <c r="J34" s="67">
        <v>1</v>
      </c>
      <c r="K34" s="67">
        <v>0</v>
      </c>
      <c r="L34" s="67">
        <v>0</v>
      </c>
      <c r="M34" s="67">
        <v>0</v>
      </c>
      <c r="N34" s="67">
        <v>0</v>
      </c>
      <c r="O34" s="68" t="s">
        <v>36</v>
      </c>
      <c r="P34" s="68" t="s">
        <v>36</v>
      </c>
      <c r="Q34" s="68" t="s">
        <v>36</v>
      </c>
      <c r="R34" s="68" t="s">
        <v>36</v>
      </c>
      <c r="S34" s="68" t="s">
        <v>36</v>
      </c>
      <c r="T34" s="65">
        <f t="shared" si="0"/>
        <v>46</v>
      </c>
    </row>
    <row r="35" spans="1:20">
      <c r="A35" s="71" t="s">
        <v>22</v>
      </c>
      <c r="B35" s="7" t="s">
        <v>35</v>
      </c>
      <c r="C35" s="64" t="str">
        <f t="shared" si="1"/>
        <v>Derecho de oposición  - BNPL</v>
      </c>
      <c r="D35" s="67">
        <v>1</v>
      </c>
      <c r="E35" s="68">
        <v>1</v>
      </c>
      <c r="F35" s="68">
        <v>0</v>
      </c>
      <c r="G35" s="68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67">
        <v>0</v>
      </c>
      <c r="N35" s="67">
        <v>0</v>
      </c>
      <c r="O35" s="68" t="s">
        <v>36</v>
      </c>
      <c r="P35" s="68" t="s">
        <v>36</v>
      </c>
      <c r="Q35" s="68" t="s">
        <v>36</v>
      </c>
      <c r="R35" s="68" t="s">
        <v>36</v>
      </c>
      <c r="S35" s="68" t="s">
        <v>36</v>
      </c>
      <c r="T35" s="65">
        <f t="shared" si="0"/>
        <v>44</v>
      </c>
    </row>
    <row r="36" spans="1:20">
      <c r="A36" s="71" t="s">
        <v>22</v>
      </c>
      <c r="B36" s="7" t="s">
        <v>37</v>
      </c>
      <c r="C36" s="64" t="str">
        <f t="shared" si="1"/>
        <v>Derecho de oposición  - Amz GIL</v>
      </c>
      <c r="D36" s="67">
        <v>1</v>
      </c>
      <c r="E36" s="68">
        <v>1</v>
      </c>
      <c r="F36" s="68">
        <v>0</v>
      </c>
      <c r="G36" s="68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67">
        <v>0</v>
      </c>
      <c r="N36" s="67">
        <v>0</v>
      </c>
      <c r="O36" s="68" t="s">
        <v>36</v>
      </c>
      <c r="P36" s="68" t="s">
        <v>36</v>
      </c>
      <c r="Q36" s="68" t="s">
        <v>36</v>
      </c>
      <c r="R36" s="68" t="s">
        <v>36</v>
      </c>
      <c r="S36" s="68" t="s">
        <v>36</v>
      </c>
      <c r="T36" s="65">
        <f t="shared" si="0"/>
        <v>44</v>
      </c>
    </row>
    <row r="37" spans="1:20">
      <c r="A37" s="71" t="s">
        <v>22</v>
      </c>
      <c r="B37" s="7" t="s">
        <v>38</v>
      </c>
      <c r="C37" s="64" t="str">
        <f t="shared" si="1"/>
        <v>Derecho de oposición  - CB</v>
      </c>
      <c r="D37" s="67">
        <v>1</v>
      </c>
      <c r="E37" s="68">
        <v>1</v>
      </c>
      <c r="F37" s="68">
        <v>0</v>
      </c>
      <c r="G37" s="68">
        <v>0</v>
      </c>
      <c r="H37" s="67">
        <v>0</v>
      </c>
      <c r="I37" s="67">
        <v>0</v>
      </c>
      <c r="J37" s="67">
        <v>0</v>
      </c>
      <c r="K37" s="67">
        <v>0</v>
      </c>
      <c r="L37" s="67">
        <v>1</v>
      </c>
      <c r="M37" s="67">
        <v>0</v>
      </c>
      <c r="N37" s="67">
        <v>0</v>
      </c>
      <c r="O37" s="68" t="s">
        <v>36</v>
      </c>
      <c r="P37" s="68" t="s">
        <v>36</v>
      </c>
      <c r="Q37" s="68" t="s">
        <v>36</v>
      </c>
      <c r="R37" s="68" t="s">
        <v>36</v>
      </c>
      <c r="S37" s="68" t="s">
        <v>36</v>
      </c>
      <c r="T37" s="65">
        <f t="shared" si="0"/>
        <v>44</v>
      </c>
    </row>
    <row r="38" spans="1:20">
      <c r="A38" s="71" t="s">
        <v>22</v>
      </c>
      <c r="B38" s="7" t="s">
        <v>39</v>
      </c>
      <c r="C38" s="64" t="str">
        <f t="shared" si="1"/>
        <v>Derecho de oposición  - Branch</v>
      </c>
      <c r="D38" s="67">
        <v>1</v>
      </c>
      <c r="E38" s="68">
        <v>1</v>
      </c>
      <c r="F38" s="68">
        <v>0</v>
      </c>
      <c r="G38" s="68">
        <v>0</v>
      </c>
      <c r="H38" s="67">
        <v>0</v>
      </c>
      <c r="I38" s="67">
        <v>0</v>
      </c>
      <c r="J38" s="67">
        <v>0</v>
      </c>
      <c r="K38" s="67">
        <v>0</v>
      </c>
      <c r="L38" s="67">
        <v>1</v>
      </c>
      <c r="M38" s="67">
        <v>0</v>
      </c>
      <c r="N38" s="67">
        <v>0</v>
      </c>
      <c r="O38" s="68" t="s">
        <v>36</v>
      </c>
      <c r="P38" s="68" t="s">
        <v>36</v>
      </c>
      <c r="Q38" s="68" t="s">
        <v>36</v>
      </c>
      <c r="R38" s="68" t="s">
        <v>36</v>
      </c>
      <c r="S38" s="68" t="s">
        <v>36</v>
      </c>
      <c r="T38" s="65">
        <f t="shared" si="0"/>
        <v>44</v>
      </c>
    </row>
    <row r="39" spans="1:20">
      <c r="A39" s="71" t="s">
        <v>23</v>
      </c>
      <c r="B39" s="7" t="s">
        <v>35</v>
      </c>
      <c r="C39" s="64" t="str">
        <f t="shared" si="1"/>
        <v>Derecho revisión manual - incremento límite - BNPL</v>
      </c>
      <c r="D39" s="67">
        <v>1</v>
      </c>
      <c r="E39" s="68">
        <v>1</v>
      </c>
      <c r="F39" s="68">
        <v>0</v>
      </c>
      <c r="G39" s="68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8" t="s">
        <v>36</v>
      </c>
      <c r="P39" s="68" t="s">
        <v>36</v>
      </c>
      <c r="Q39" s="68" t="s">
        <v>36</v>
      </c>
      <c r="R39" s="68" t="s">
        <v>36</v>
      </c>
      <c r="S39" s="68" t="s">
        <v>36</v>
      </c>
      <c r="T39" s="65">
        <f t="shared" si="0"/>
        <v>29</v>
      </c>
    </row>
    <row r="40" spans="1:20">
      <c r="A40" s="71" t="s">
        <v>23</v>
      </c>
      <c r="B40" s="7" t="s">
        <v>37</v>
      </c>
      <c r="C40" s="64" t="str">
        <f t="shared" si="1"/>
        <v>Derecho revisión manual - incremento límite - Amz GIL</v>
      </c>
      <c r="D40" s="67">
        <v>1</v>
      </c>
      <c r="E40" s="68">
        <v>1</v>
      </c>
      <c r="F40" s="68">
        <v>0</v>
      </c>
      <c r="G40" s="68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8" t="s">
        <v>36</v>
      </c>
      <c r="P40" s="68" t="s">
        <v>36</v>
      </c>
      <c r="Q40" s="68" t="s">
        <v>36</v>
      </c>
      <c r="R40" s="68" t="s">
        <v>36</v>
      </c>
      <c r="S40" s="68" t="s">
        <v>36</v>
      </c>
      <c r="T40" s="65">
        <f t="shared" si="0"/>
        <v>29</v>
      </c>
    </row>
    <row r="41" spans="1:20">
      <c r="A41" s="71" t="s">
        <v>23</v>
      </c>
      <c r="B41" s="7" t="s">
        <v>38</v>
      </c>
      <c r="C41" s="64" t="str">
        <f t="shared" si="1"/>
        <v>Derecho revisión manual - incremento límite - CB</v>
      </c>
      <c r="D41" s="67">
        <v>1</v>
      </c>
      <c r="E41" s="68">
        <v>1</v>
      </c>
      <c r="F41" s="68">
        <v>0</v>
      </c>
      <c r="G41" s="68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8" t="s">
        <v>36</v>
      </c>
      <c r="P41" s="68" t="s">
        <v>36</v>
      </c>
      <c r="Q41" s="68" t="s">
        <v>36</v>
      </c>
      <c r="R41" s="68" t="s">
        <v>36</v>
      </c>
      <c r="S41" s="68" t="s">
        <v>36</v>
      </c>
      <c r="T41" s="65">
        <f t="shared" si="0"/>
        <v>29</v>
      </c>
    </row>
    <row r="42" spans="1:20">
      <c r="A42" s="71" t="s">
        <v>23</v>
      </c>
      <c r="B42" s="7" t="s">
        <v>39</v>
      </c>
      <c r="C42" s="64" t="str">
        <f t="shared" si="1"/>
        <v>Derecho revisión manual - incremento límite - Branch</v>
      </c>
      <c r="D42" s="67">
        <v>1</v>
      </c>
      <c r="E42" s="68">
        <v>1</v>
      </c>
      <c r="F42" s="68">
        <v>0</v>
      </c>
      <c r="G42" s="68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8" t="s">
        <v>36</v>
      </c>
      <c r="P42" s="68" t="s">
        <v>36</v>
      </c>
      <c r="Q42" s="68" t="s">
        <v>36</v>
      </c>
      <c r="R42" s="68" t="s">
        <v>36</v>
      </c>
      <c r="S42" s="68" t="s">
        <v>36</v>
      </c>
      <c r="T42" s="65">
        <f t="shared" si="0"/>
        <v>29</v>
      </c>
    </row>
    <row r="43" spans="1:20">
      <c r="A43" s="71" t="s">
        <v>24</v>
      </c>
      <c r="B43" s="7" t="s">
        <v>35</v>
      </c>
      <c r="C43" s="64" t="str">
        <f t="shared" si="1"/>
        <v>Motivo de denegación  - BNPL</v>
      </c>
      <c r="D43" s="67">
        <v>1</v>
      </c>
      <c r="E43" s="68">
        <v>1</v>
      </c>
      <c r="F43" s="68">
        <v>0</v>
      </c>
      <c r="G43" s="68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1</v>
      </c>
      <c r="O43" s="68" t="s">
        <v>36</v>
      </c>
      <c r="P43" s="68" t="s">
        <v>36</v>
      </c>
      <c r="Q43" s="68" t="s">
        <v>36</v>
      </c>
      <c r="R43" s="68" t="s">
        <v>36</v>
      </c>
      <c r="S43" s="68" t="s">
        <v>36</v>
      </c>
      <c r="T43" s="65">
        <f t="shared" si="0"/>
        <v>54</v>
      </c>
    </row>
    <row r="44" spans="1:20">
      <c r="A44" s="71" t="s">
        <v>24</v>
      </c>
      <c r="B44" s="7" t="s">
        <v>37</v>
      </c>
      <c r="C44" s="64" t="str">
        <f t="shared" si="1"/>
        <v>Motivo de denegación  - Amz GIL</v>
      </c>
      <c r="D44" s="67">
        <v>1</v>
      </c>
      <c r="E44" s="68">
        <v>1</v>
      </c>
      <c r="F44" s="68">
        <v>0</v>
      </c>
      <c r="G44" s="68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1</v>
      </c>
      <c r="O44" s="68" t="s">
        <v>36</v>
      </c>
      <c r="P44" s="68" t="s">
        <v>36</v>
      </c>
      <c r="Q44" s="68" t="s">
        <v>36</v>
      </c>
      <c r="R44" s="68" t="s">
        <v>36</v>
      </c>
      <c r="S44" s="68" t="s">
        <v>36</v>
      </c>
      <c r="T44" s="65">
        <f t="shared" si="0"/>
        <v>54</v>
      </c>
    </row>
    <row r="45" spans="1:20">
      <c r="A45" s="71" t="s">
        <v>24</v>
      </c>
      <c r="B45" s="7" t="s">
        <v>38</v>
      </c>
      <c r="C45" s="64" t="str">
        <f t="shared" si="1"/>
        <v>Motivo de denegación  - CB</v>
      </c>
      <c r="D45" s="67">
        <v>1</v>
      </c>
      <c r="E45" s="68">
        <v>1</v>
      </c>
      <c r="F45" s="68">
        <v>0</v>
      </c>
      <c r="G45" s="68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1</v>
      </c>
      <c r="O45" s="68" t="s">
        <v>36</v>
      </c>
      <c r="P45" s="68" t="s">
        <v>36</v>
      </c>
      <c r="Q45" s="68" t="s">
        <v>36</v>
      </c>
      <c r="R45" s="68" t="s">
        <v>36</v>
      </c>
      <c r="S45" s="68" t="s">
        <v>36</v>
      </c>
      <c r="T45" s="65">
        <f t="shared" si="0"/>
        <v>54</v>
      </c>
    </row>
    <row r="46" spans="1:20">
      <c r="A46" s="71" t="s">
        <v>24</v>
      </c>
      <c r="B46" s="7" t="s">
        <v>39</v>
      </c>
      <c r="C46" s="64" t="str">
        <f t="shared" si="1"/>
        <v>Motivo de denegación  - Branch</v>
      </c>
      <c r="D46" s="67">
        <v>1</v>
      </c>
      <c r="E46" s="68">
        <v>1</v>
      </c>
      <c r="F46" s="68">
        <v>0</v>
      </c>
      <c r="G46" s="68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1</v>
      </c>
      <c r="O46" s="68" t="s">
        <v>36</v>
      </c>
      <c r="P46" s="68" t="s">
        <v>36</v>
      </c>
      <c r="Q46" s="68" t="s">
        <v>36</v>
      </c>
      <c r="R46" s="68" t="s">
        <v>36</v>
      </c>
      <c r="S46" s="68" t="s">
        <v>36</v>
      </c>
      <c r="T46" s="65">
        <f t="shared" si="0"/>
        <v>54</v>
      </c>
    </row>
    <row r="47" spans="1:20">
      <c r="A47" s="71" t="s">
        <v>25</v>
      </c>
      <c r="B47" s="7" t="s">
        <v>35</v>
      </c>
      <c r="C47" s="64" t="str">
        <f t="shared" si="1"/>
        <v>Revisión manual - BNPL</v>
      </c>
      <c r="D47" s="67">
        <v>1</v>
      </c>
      <c r="E47" s="68">
        <v>1</v>
      </c>
      <c r="F47" s="68">
        <v>0</v>
      </c>
      <c r="G47" s="68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1</v>
      </c>
      <c r="N47" s="67">
        <v>1</v>
      </c>
      <c r="O47" s="68" t="s">
        <v>36</v>
      </c>
      <c r="P47" s="68" t="s">
        <v>36</v>
      </c>
      <c r="Q47" s="68" t="s">
        <v>36</v>
      </c>
      <c r="R47" s="68" t="s">
        <v>36</v>
      </c>
      <c r="S47" s="68" t="s">
        <v>36</v>
      </c>
      <c r="T47" s="65">
        <f t="shared" si="0"/>
        <v>94</v>
      </c>
    </row>
    <row r="48" spans="1:20">
      <c r="A48" s="71" t="s">
        <v>25</v>
      </c>
      <c r="B48" s="7" t="s">
        <v>37</v>
      </c>
      <c r="C48" s="64" t="str">
        <f t="shared" si="1"/>
        <v>Revisión manual - Amz GIL</v>
      </c>
      <c r="D48" s="67">
        <v>1</v>
      </c>
      <c r="E48" s="68">
        <v>1</v>
      </c>
      <c r="F48" s="68">
        <v>0</v>
      </c>
      <c r="G48" s="68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1</v>
      </c>
      <c r="N48" s="67">
        <v>1</v>
      </c>
      <c r="O48" s="68" t="s">
        <v>36</v>
      </c>
      <c r="P48" s="68" t="s">
        <v>36</v>
      </c>
      <c r="Q48" s="68" t="s">
        <v>36</v>
      </c>
      <c r="R48" s="68" t="s">
        <v>36</v>
      </c>
      <c r="S48" s="68" t="s">
        <v>36</v>
      </c>
      <c r="T48" s="65">
        <f t="shared" si="0"/>
        <v>94</v>
      </c>
    </row>
    <row r="49" spans="1:20">
      <c r="A49" s="71" t="s">
        <v>25</v>
      </c>
      <c r="B49" s="7" t="s">
        <v>38</v>
      </c>
      <c r="C49" s="64" t="str">
        <f t="shared" si="1"/>
        <v>Revisión manual - CB</v>
      </c>
      <c r="D49" s="67">
        <v>1</v>
      </c>
      <c r="E49" s="68">
        <v>1</v>
      </c>
      <c r="F49" s="68">
        <v>0</v>
      </c>
      <c r="G49" s="68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1</v>
      </c>
      <c r="N49" s="67">
        <v>1</v>
      </c>
      <c r="O49" s="68" t="s">
        <v>36</v>
      </c>
      <c r="P49" s="68" t="s">
        <v>36</v>
      </c>
      <c r="Q49" s="68" t="s">
        <v>36</v>
      </c>
      <c r="R49" s="68" t="s">
        <v>36</v>
      </c>
      <c r="S49" s="68" t="s">
        <v>36</v>
      </c>
      <c r="T49" s="65">
        <f t="shared" si="0"/>
        <v>94</v>
      </c>
    </row>
    <row r="50" spans="1:20">
      <c r="A50" s="71" t="s">
        <v>25</v>
      </c>
      <c r="B50" s="7" t="s">
        <v>39</v>
      </c>
      <c r="C50" s="64" t="str">
        <f t="shared" si="1"/>
        <v>Revisión manual - Branch</v>
      </c>
      <c r="D50" s="67">
        <v>1</v>
      </c>
      <c r="E50" s="68">
        <v>1</v>
      </c>
      <c r="F50" s="68">
        <v>0</v>
      </c>
      <c r="G50" s="68">
        <v>0</v>
      </c>
      <c r="H50" s="67">
        <v>0</v>
      </c>
      <c r="I50" s="67">
        <v>0</v>
      </c>
      <c r="J50" s="67">
        <v>0</v>
      </c>
      <c r="K50" s="67">
        <v>0</v>
      </c>
      <c r="L50" s="67">
        <v>0</v>
      </c>
      <c r="M50" s="67">
        <v>1</v>
      </c>
      <c r="N50" s="67">
        <v>1</v>
      </c>
      <c r="O50" s="68" t="s">
        <v>36</v>
      </c>
      <c r="P50" s="68" t="s">
        <v>36</v>
      </c>
      <c r="Q50" s="68" t="s">
        <v>36</v>
      </c>
      <c r="R50" s="68" t="s">
        <v>36</v>
      </c>
      <c r="S50" s="68" t="s">
        <v>36</v>
      </c>
      <c r="T50" s="65">
        <f t="shared" si="0"/>
        <v>94</v>
      </c>
    </row>
    <row r="51" spans="1:20">
      <c r="A51" s="79" t="s">
        <v>81</v>
      </c>
      <c r="B51" s="7" t="s">
        <v>82</v>
      </c>
      <c r="C51" s="64" t="str">
        <f t="shared" si="1"/>
        <v>Escalados por Cumplimiento - CROSS</v>
      </c>
      <c r="D51" s="81" t="s">
        <v>36</v>
      </c>
      <c r="E51" s="81" t="s">
        <v>36</v>
      </c>
      <c r="F51" s="81" t="s">
        <v>36</v>
      </c>
      <c r="G51" s="81" t="s">
        <v>36</v>
      </c>
      <c r="H51" s="81" t="s">
        <v>36</v>
      </c>
      <c r="I51" s="81" t="s">
        <v>36</v>
      </c>
      <c r="J51" s="81" t="s">
        <v>36</v>
      </c>
      <c r="K51" s="81" t="s">
        <v>36</v>
      </c>
      <c r="L51" s="81" t="s">
        <v>36</v>
      </c>
      <c r="M51" s="81" t="s">
        <v>36</v>
      </c>
      <c r="N51" s="81" t="s">
        <v>36</v>
      </c>
      <c r="O51" s="81">
        <v>1</v>
      </c>
      <c r="P51" s="81">
        <v>0</v>
      </c>
      <c r="Q51" s="81">
        <v>0</v>
      </c>
      <c r="R51" s="81">
        <v>0</v>
      </c>
      <c r="S51" s="81">
        <v>0</v>
      </c>
      <c r="T51" s="65">
        <f t="shared" si="0"/>
        <v>225</v>
      </c>
    </row>
    <row r="52" spans="1:20">
      <c r="A52" s="80" t="s">
        <v>83</v>
      </c>
      <c r="B52" s="7" t="s">
        <v>82</v>
      </c>
      <c r="C52" s="64" t="str">
        <f t="shared" si="1"/>
        <v>Creación de KPIs (necesario por Cumplimiento) - CROSS</v>
      </c>
      <c r="D52" s="81" t="s">
        <v>36</v>
      </c>
      <c r="E52" s="81" t="s">
        <v>36</v>
      </c>
      <c r="F52" s="81" t="s">
        <v>36</v>
      </c>
      <c r="G52" s="81" t="s">
        <v>36</v>
      </c>
      <c r="H52" s="81" t="s">
        <v>36</v>
      </c>
      <c r="I52" s="81" t="s">
        <v>36</v>
      </c>
      <c r="J52" s="81" t="s">
        <v>36</v>
      </c>
      <c r="K52" s="81" t="s">
        <v>36</v>
      </c>
      <c r="L52" s="81" t="s">
        <v>36</v>
      </c>
      <c r="M52" s="81" t="s">
        <v>36</v>
      </c>
      <c r="N52" s="81" t="s">
        <v>36</v>
      </c>
      <c r="O52" s="81">
        <v>0</v>
      </c>
      <c r="P52" s="81">
        <v>1</v>
      </c>
      <c r="Q52" s="81">
        <v>0</v>
      </c>
      <c r="R52" s="81">
        <v>0</v>
      </c>
      <c r="S52" s="81">
        <v>0</v>
      </c>
      <c r="T52" s="65">
        <f t="shared" si="0"/>
        <v>480</v>
      </c>
    </row>
    <row r="53" spans="1:20">
      <c r="A53" s="80" t="s">
        <v>84</v>
      </c>
      <c r="B53" s="7" t="s">
        <v>82</v>
      </c>
      <c r="C53" s="64" t="str">
        <f t="shared" si="1"/>
        <v>Gestión casos de Fraude  - CROSS</v>
      </c>
      <c r="D53" s="81" t="s">
        <v>36</v>
      </c>
      <c r="E53" s="81" t="s">
        <v>36</v>
      </c>
      <c r="F53" s="81" t="s">
        <v>36</v>
      </c>
      <c r="G53" s="81" t="s">
        <v>36</v>
      </c>
      <c r="H53" s="81" t="s">
        <v>36</v>
      </c>
      <c r="I53" s="81" t="s">
        <v>36</v>
      </c>
      <c r="J53" s="81" t="s">
        <v>36</v>
      </c>
      <c r="K53" s="81" t="s">
        <v>36</v>
      </c>
      <c r="L53" s="81" t="s">
        <v>36</v>
      </c>
      <c r="M53" s="81" t="s">
        <v>36</v>
      </c>
      <c r="N53" s="81" t="s">
        <v>36</v>
      </c>
      <c r="O53" s="81">
        <v>0</v>
      </c>
      <c r="P53" s="81">
        <v>0</v>
      </c>
      <c r="Q53" s="81">
        <v>1</v>
      </c>
      <c r="R53" s="81">
        <v>0</v>
      </c>
      <c r="S53" s="81">
        <v>0</v>
      </c>
      <c r="T53" s="65">
        <f t="shared" si="0"/>
        <v>40</v>
      </c>
    </row>
    <row r="54" spans="1:20">
      <c r="A54" s="80" t="s">
        <v>85</v>
      </c>
      <c r="B54" s="7" t="s">
        <v>82</v>
      </c>
      <c r="C54" s="64" t="str">
        <f t="shared" si="1"/>
        <v>Control de Calidad - CROSS</v>
      </c>
      <c r="D54" s="81" t="s">
        <v>36</v>
      </c>
      <c r="E54" s="81" t="s">
        <v>36</v>
      </c>
      <c r="F54" s="81" t="s">
        <v>36</v>
      </c>
      <c r="G54" s="81" t="s">
        <v>36</v>
      </c>
      <c r="H54" s="81" t="s">
        <v>36</v>
      </c>
      <c r="I54" s="81" t="s">
        <v>36</v>
      </c>
      <c r="J54" s="81" t="s">
        <v>36</v>
      </c>
      <c r="K54" s="81" t="s">
        <v>36</v>
      </c>
      <c r="L54" s="81" t="s">
        <v>36</v>
      </c>
      <c r="M54" s="81" t="s">
        <v>36</v>
      </c>
      <c r="N54" s="81" t="s">
        <v>36</v>
      </c>
      <c r="O54" s="81">
        <v>0</v>
      </c>
      <c r="P54" s="81">
        <v>0</v>
      </c>
      <c r="Q54" s="81">
        <v>0</v>
      </c>
      <c r="R54" s="81">
        <v>1</v>
      </c>
      <c r="S54" s="81">
        <v>0</v>
      </c>
      <c r="T54" s="65">
        <f t="shared" si="0"/>
        <v>30</v>
      </c>
    </row>
    <row r="55" spans="1:20">
      <c r="A55" s="80" t="s">
        <v>86</v>
      </c>
      <c r="B55" s="7" t="s">
        <v>82</v>
      </c>
      <c r="C55" s="64" t="str">
        <f t="shared" si="1"/>
        <v>Buzón Schufa - CROSS</v>
      </c>
      <c r="D55" s="81" t="s">
        <v>36</v>
      </c>
      <c r="E55" s="81" t="s">
        <v>36</v>
      </c>
      <c r="F55" s="81" t="s">
        <v>36</v>
      </c>
      <c r="G55" s="81" t="s">
        <v>36</v>
      </c>
      <c r="H55" s="81" t="s">
        <v>36</v>
      </c>
      <c r="I55" s="81" t="s">
        <v>36</v>
      </c>
      <c r="J55" s="81" t="s">
        <v>36</v>
      </c>
      <c r="K55" s="81" t="s">
        <v>36</v>
      </c>
      <c r="L55" s="81" t="s">
        <v>36</v>
      </c>
      <c r="M55" s="81" t="s">
        <v>36</v>
      </c>
      <c r="N55" s="81" t="s">
        <v>36</v>
      </c>
      <c r="O55" s="81">
        <v>0</v>
      </c>
      <c r="P55" s="81">
        <v>0</v>
      </c>
      <c r="Q55" s="81">
        <v>0</v>
      </c>
      <c r="R55" s="81">
        <v>0</v>
      </c>
      <c r="S55" s="81">
        <v>1</v>
      </c>
      <c r="T55" s="65">
        <f t="shared" si="0"/>
        <v>45</v>
      </c>
    </row>
    <row r="58" spans="1:20">
      <c r="B58" s="6" t="s">
        <v>87</v>
      </c>
    </row>
    <row r="59" spans="1:20">
      <c r="B59" s="63" t="s">
        <v>88</v>
      </c>
      <c r="C59" s="63" t="s">
        <v>15</v>
      </c>
      <c r="D59" s="6"/>
    </row>
    <row r="60" spans="1:20">
      <c r="A60" s="321">
        <v>1</v>
      </c>
      <c r="B60" s="124" t="s">
        <v>89</v>
      </c>
      <c r="C60" s="125">
        <v>8</v>
      </c>
    </row>
    <row r="61" spans="1:20">
      <c r="A61" s="322"/>
      <c r="B61" s="126" t="s">
        <v>90</v>
      </c>
      <c r="C61" s="127">
        <v>5</v>
      </c>
    </row>
    <row r="62" spans="1:20">
      <c r="A62" s="322"/>
      <c r="B62" s="126" t="s">
        <v>91</v>
      </c>
      <c r="C62" s="127">
        <v>3</v>
      </c>
    </row>
    <row r="63" spans="1:20">
      <c r="A63" s="321">
        <v>2</v>
      </c>
      <c r="B63" s="124" t="s">
        <v>92</v>
      </c>
      <c r="C63" s="125">
        <v>21</v>
      </c>
    </row>
    <row r="64" spans="1:20">
      <c r="A64" s="322"/>
      <c r="B64" s="126" t="s">
        <v>93</v>
      </c>
      <c r="C64" s="127">
        <v>5</v>
      </c>
    </row>
    <row r="65" spans="1:3">
      <c r="A65" s="322"/>
      <c r="B65" s="126" t="s">
        <v>94</v>
      </c>
      <c r="C65" s="127">
        <v>3</v>
      </c>
    </row>
    <row r="66" spans="1:3">
      <c r="A66" s="322"/>
      <c r="B66" s="126" t="s">
        <v>95</v>
      </c>
      <c r="C66" s="127">
        <v>3</v>
      </c>
    </row>
    <row r="67" spans="1:3">
      <c r="A67" s="323"/>
      <c r="B67" s="128" t="s">
        <v>96</v>
      </c>
      <c r="C67" s="129">
        <v>10</v>
      </c>
    </row>
    <row r="68" spans="1:3">
      <c r="A68" s="321">
        <v>3</v>
      </c>
      <c r="B68" s="124" t="s">
        <v>97</v>
      </c>
      <c r="C68" s="125">
        <v>33</v>
      </c>
    </row>
    <row r="69" spans="1:3">
      <c r="A69" s="322"/>
      <c r="B69" s="126" t="s">
        <v>98</v>
      </c>
      <c r="C69" s="127">
        <v>5</v>
      </c>
    </row>
    <row r="70" spans="1:3">
      <c r="A70" s="322"/>
      <c r="B70" s="126" t="s">
        <v>99</v>
      </c>
      <c r="C70" s="127">
        <v>0</v>
      </c>
    </row>
    <row r="71" spans="1:3">
      <c r="A71" s="322"/>
      <c r="B71" s="126" t="s">
        <v>100</v>
      </c>
      <c r="C71" s="127">
        <v>15</v>
      </c>
    </row>
    <row r="72" spans="1:3">
      <c r="A72" s="322"/>
      <c r="B72" s="126" t="s">
        <v>101</v>
      </c>
      <c r="C72" s="127">
        <v>5</v>
      </c>
    </row>
    <row r="73" spans="1:3">
      <c r="A73" s="322"/>
      <c r="B73" s="126" t="s">
        <v>102</v>
      </c>
      <c r="C73" s="127">
        <v>5</v>
      </c>
    </row>
    <row r="74" spans="1:3">
      <c r="A74" s="323"/>
      <c r="B74" s="128" t="s">
        <v>96</v>
      </c>
      <c r="C74" s="129">
        <v>3</v>
      </c>
    </row>
    <row r="75" spans="1:3" ht="18.75" customHeight="1">
      <c r="A75" s="321">
        <v>4</v>
      </c>
      <c r="B75" s="124" t="s">
        <v>103</v>
      </c>
      <c r="C75" s="125">
        <v>61</v>
      </c>
    </row>
    <row r="76" spans="1:3" ht="18.75" customHeight="1">
      <c r="A76" s="322"/>
      <c r="B76" s="126" t="s">
        <v>98</v>
      </c>
      <c r="C76" s="127">
        <v>8</v>
      </c>
    </row>
    <row r="77" spans="1:3" ht="18.75" customHeight="1">
      <c r="A77" s="322"/>
      <c r="B77" s="126" t="s">
        <v>99</v>
      </c>
      <c r="C77" s="127">
        <v>30</v>
      </c>
    </row>
    <row r="78" spans="1:3" ht="18.75" customHeight="1">
      <c r="A78" s="322"/>
      <c r="B78" s="126" t="s">
        <v>100</v>
      </c>
      <c r="C78" s="127">
        <v>8</v>
      </c>
    </row>
    <row r="79" spans="1:3">
      <c r="A79" s="322"/>
      <c r="B79" s="126" t="s">
        <v>102</v>
      </c>
      <c r="C79" s="127">
        <v>5</v>
      </c>
    </row>
    <row r="80" spans="1:3" ht="18.75" customHeight="1">
      <c r="A80" s="323"/>
      <c r="B80" s="128" t="s">
        <v>96</v>
      </c>
      <c r="C80" s="129">
        <v>10</v>
      </c>
    </row>
    <row r="81" spans="1:3">
      <c r="A81" s="321">
        <v>5</v>
      </c>
      <c r="B81" s="124" t="s">
        <v>104</v>
      </c>
      <c r="C81" s="125">
        <v>25</v>
      </c>
    </row>
    <row r="82" spans="1:3">
      <c r="A82" s="322"/>
      <c r="B82" s="126" t="s">
        <v>105</v>
      </c>
      <c r="C82" s="127">
        <v>10</v>
      </c>
    </row>
    <row r="83" spans="1:3">
      <c r="A83" s="322"/>
      <c r="B83" s="126" t="s">
        <v>106</v>
      </c>
      <c r="C83" s="127">
        <v>5</v>
      </c>
    </row>
    <row r="84" spans="1:3">
      <c r="A84" s="322"/>
      <c r="B84" s="126" t="s">
        <v>107</v>
      </c>
      <c r="C84" s="127">
        <v>10</v>
      </c>
    </row>
    <row r="85" spans="1:3">
      <c r="A85" s="323"/>
      <c r="B85" s="128"/>
      <c r="C85" s="129"/>
    </row>
    <row r="86" spans="1:3" ht="28.5">
      <c r="A86" s="321">
        <v>6</v>
      </c>
      <c r="B86" s="130" t="s">
        <v>108</v>
      </c>
      <c r="C86" s="125">
        <v>13</v>
      </c>
    </row>
    <row r="87" spans="1:3">
      <c r="A87" s="322"/>
      <c r="B87" s="126" t="s">
        <v>109</v>
      </c>
      <c r="C87" s="127">
        <v>8</v>
      </c>
    </row>
    <row r="88" spans="1:3">
      <c r="A88" s="322"/>
      <c r="B88" s="126" t="s">
        <v>106</v>
      </c>
      <c r="C88" s="127">
        <v>5</v>
      </c>
    </row>
    <row r="89" spans="1:3">
      <c r="A89" s="322"/>
      <c r="B89" s="131"/>
      <c r="C89" s="127"/>
    </row>
    <row r="90" spans="1:3">
      <c r="A90" s="323"/>
      <c r="B90" s="128"/>
      <c r="C90" s="129"/>
    </row>
    <row r="91" spans="1:3">
      <c r="A91" s="321">
        <v>7</v>
      </c>
      <c r="B91" s="124" t="s">
        <v>110</v>
      </c>
      <c r="C91" s="125">
        <v>17</v>
      </c>
    </row>
    <row r="92" spans="1:3">
      <c r="A92" s="322"/>
      <c r="B92" s="126" t="s">
        <v>111</v>
      </c>
      <c r="C92" s="127">
        <v>5</v>
      </c>
    </row>
    <row r="93" spans="1:3">
      <c r="A93" s="322"/>
      <c r="B93" s="126" t="s">
        <v>112</v>
      </c>
      <c r="C93" s="127">
        <v>10</v>
      </c>
    </row>
    <row r="94" spans="1:3">
      <c r="A94" s="322"/>
      <c r="B94" s="131" t="s">
        <v>113</v>
      </c>
      <c r="C94" s="127">
        <v>2</v>
      </c>
    </row>
    <row r="95" spans="1:3">
      <c r="A95" s="323"/>
      <c r="B95" s="128"/>
      <c r="C95" s="129"/>
    </row>
    <row r="96" spans="1:3">
      <c r="A96" s="321">
        <v>8</v>
      </c>
      <c r="B96" s="124" t="s">
        <v>114</v>
      </c>
      <c r="C96" s="125">
        <v>15</v>
      </c>
    </row>
    <row r="97" spans="1:3">
      <c r="A97" s="322"/>
      <c r="B97" s="126" t="s">
        <v>109</v>
      </c>
      <c r="C97" s="127">
        <v>5</v>
      </c>
    </row>
    <row r="98" spans="1:3">
      <c r="A98" s="322"/>
      <c r="B98" s="126" t="s">
        <v>115</v>
      </c>
      <c r="C98" s="127">
        <v>5</v>
      </c>
    </row>
    <row r="99" spans="1:3">
      <c r="A99" s="322"/>
      <c r="B99" s="126" t="s">
        <v>116</v>
      </c>
      <c r="C99" s="127">
        <v>5</v>
      </c>
    </row>
    <row r="100" spans="1:3">
      <c r="A100" s="323"/>
      <c r="B100" s="128"/>
      <c r="C100" s="129"/>
    </row>
    <row r="101" spans="1:3">
      <c r="A101" s="321">
        <v>9</v>
      </c>
      <c r="B101" s="124" t="s">
        <v>117</v>
      </c>
      <c r="C101" s="125">
        <v>15</v>
      </c>
    </row>
    <row r="102" spans="1:3">
      <c r="A102" s="322"/>
      <c r="B102" s="126" t="s">
        <v>118</v>
      </c>
      <c r="C102" s="127">
        <v>9</v>
      </c>
    </row>
    <row r="103" spans="1:3">
      <c r="A103" s="322"/>
      <c r="B103" s="126" t="s">
        <v>119</v>
      </c>
      <c r="C103" s="127">
        <v>6</v>
      </c>
    </row>
    <row r="104" spans="1:3">
      <c r="A104" s="322"/>
      <c r="B104" s="131"/>
      <c r="C104" s="127"/>
    </row>
    <row r="105" spans="1:3">
      <c r="A105" s="323"/>
      <c r="B105" s="128"/>
      <c r="C105" s="129"/>
    </row>
    <row r="106" spans="1:3">
      <c r="A106" s="321">
        <v>10</v>
      </c>
      <c r="B106" s="124" t="s">
        <v>120</v>
      </c>
      <c r="C106" s="125">
        <v>40</v>
      </c>
    </row>
    <row r="107" spans="1:3">
      <c r="A107" s="322"/>
      <c r="B107" s="126" t="s">
        <v>121</v>
      </c>
      <c r="C107" s="127">
        <v>5</v>
      </c>
    </row>
    <row r="108" spans="1:3" ht="27.95">
      <c r="A108" s="322"/>
      <c r="B108" s="132" t="s">
        <v>122</v>
      </c>
      <c r="C108" s="127">
        <v>10</v>
      </c>
    </row>
    <row r="109" spans="1:3" ht="27.95">
      <c r="A109" s="322"/>
      <c r="B109" s="132" t="s">
        <v>123</v>
      </c>
      <c r="C109" s="127">
        <v>10</v>
      </c>
    </row>
    <row r="110" spans="1:3">
      <c r="A110" s="322"/>
      <c r="B110" s="126" t="s">
        <v>124</v>
      </c>
      <c r="C110" s="133">
        <v>15</v>
      </c>
    </row>
    <row r="111" spans="1:3">
      <c r="A111" s="312">
        <v>11</v>
      </c>
      <c r="B111" s="198" t="s">
        <v>24</v>
      </c>
      <c r="C111" s="125">
        <v>25</v>
      </c>
    </row>
    <row r="112" spans="1:3">
      <c r="A112" s="313"/>
      <c r="B112" s="199" t="s">
        <v>125</v>
      </c>
      <c r="C112" s="127">
        <v>5</v>
      </c>
    </row>
    <row r="113" spans="1:3">
      <c r="A113" s="313"/>
      <c r="B113" s="200" t="s">
        <v>126</v>
      </c>
      <c r="C113" s="127">
        <v>15</v>
      </c>
    </row>
    <row r="114" spans="1:3">
      <c r="A114" s="314"/>
      <c r="B114" s="201" t="s">
        <v>127</v>
      </c>
      <c r="C114" s="129">
        <v>5</v>
      </c>
    </row>
    <row r="115" spans="1:3">
      <c r="A115" s="319">
        <v>12</v>
      </c>
      <c r="B115" s="73" t="s">
        <v>128</v>
      </c>
      <c r="C115" s="69">
        <v>225</v>
      </c>
    </row>
    <row r="116" spans="1:3">
      <c r="A116" s="317"/>
      <c r="B116" s="116" t="s">
        <v>121</v>
      </c>
      <c r="C116" s="17">
        <v>5</v>
      </c>
    </row>
    <row r="117" spans="1:3">
      <c r="A117" s="317"/>
      <c r="B117" s="117" t="s">
        <v>129</v>
      </c>
      <c r="C117" s="17">
        <v>10</v>
      </c>
    </row>
    <row r="118" spans="1:3">
      <c r="A118" s="317"/>
      <c r="B118" s="117" t="s">
        <v>130</v>
      </c>
      <c r="C118" s="17">
        <v>60</v>
      </c>
    </row>
    <row r="119" spans="1:3">
      <c r="A119" s="317"/>
      <c r="B119" s="116" t="s">
        <v>131</v>
      </c>
      <c r="C119" s="17">
        <v>90</v>
      </c>
    </row>
    <row r="120" spans="1:3" ht="27.95">
      <c r="A120" s="320"/>
      <c r="B120" s="118" t="s">
        <v>132</v>
      </c>
      <c r="C120" s="70">
        <v>60</v>
      </c>
    </row>
    <row r="121" spans="1:3">
      <c r="A121" s="315">
        <v>13</v>
      </c>
      <c r="B121" s="73" t="s">
        <v>83</v>
      </c>
      <c r="C121" s="69">
        <v>480</v>
      </c>
    </row>
    <row r="122" spans="1:3">
      <c r="A122" s="316"/>
      <c r="B122" s="116" t="s">
        <v>133</v>
      </c>
      <c r="C122" s="17">
        <v>420</v>
      </c>
    </row>
    <row r="123" spans="1:3">
      <c r="A123" s="316"/>
      <c r="B123" s="117" t="s">
        <v>134</v>
      </c>
      <c r="C123" s="17">
        <v>60</v>
      </c>
    </row>
    <row r="124" spans="1:3">
      <c r="A124" s="315">
        <v>14</v>
      </c>
      <c r="B124" s="73" t="s">
        <v>84</v>
      </c>
      <c r="C124" s="69">
        <v>40</v>
      </c>
    </row>
    <row r="125" spans="1:3">
      <c r="A125" s="316"/>
      <c r="B125" s="116" t="s">
        <v>135</v>
      </c>
      <c r="C125" s="17">
        <v>5</v>
      </c>
    </row>
    <row r="126" spans="1:3">
      <c r="A126" s="316"/>
      <c r="B126" s="117" t="s">
        <v>136</v>
      </c>
      <c r="C126" s="17">
        <v>5</v>
      </c>
    </row>
    <row r="127" spans="1:3">
      <c r="A127" s="316"/>
      <c r="B127" s="117" t="s">
        <v>137</v>
      </c>
      <c r="C127" s="17">
        <v>30</v>
      </c>
    </row>
    <row r="128" spans="1:3">
      <c r="A128" s="316"/>
      <c r="B128" s="116"/>
      <c r="C128" s="17"/>
    </row>
    <row r="129" spans="1:3">
      <c r="A129" s="318">
        <v>15</v>
      </c>
      <c r="B129" s="73" t="s">
        <v>85</v>
      </c>
      <c r="C129" s="69">
        <v>30</v>
      </c>
    </row>
    <row r="130" spans="1:3">
      <c r="A130" s="317"/>
      <c r="B130" s="116" t="s">
        <v>138</v>
      </c>
      <c r="C130" s="17">
        <v>5</v>
      </c>
    </row>
    <row r="131" spans="1:3">
      <c r="A131" s="317"/>
      <c r="B131" s="117" t="s">
        <v>139</v>
      </c>
      <c r="C131" s="17">
        <v>20</v>
      </c>
    </row>
    <row r="132" spans="1:3">
      <c r="A132" s="317"/>
      <c r="B132" s="117" t="s">
        <v>140</v>
      </c>
      <c r="C132" s="17">
        <v>5</v>
      </c>
    </row>
    <row r="133" spans="1:3">
      <c r="A133" s="315">
        <v>16</v>
      </c>
      <c r="B133" s="19" t="s">
        <v>86</v>
      </c>
      <c r="C133" s="69">
        <v>45</v>
      </c>
    </row>
    <row r="134" spans="1:3">
      <c r="A134" s="317"/>
      <c r="B134" s="20" t="s">
        <v>141</v>
      </c>
      <c r="C134" s="202">
        <v>5</v>
      </c>
    </row>
    <row r="135" spans="1:3">
      <c r="A135" s="317"/>
      <c r="B135" s="203" t="s">
        <v>142</v>
      </c>
      <c r="C135" s="202">
        <v>5</v>
      </c>
    </row>
    <row r="136" spans="1:3">
      <c r="A136" s="317"/>
      <c r="B136" s="203" t="s">
        <v>84</v>
      </c>
      <c r="C136" s="202">
        <v>20</v>
      </c>
    </row>
    <row r="137" spans="1:3">
      <c r="A137" s="317"/>
      <c r="B137" s="20" t="s">
        <v>143</v>
      </c>
      <c r="C137" s="202">
        <v>5</v>
      </c>
    </row>
    <row r="138" spans="1:3">
      <c r="A138" s="166"/>
      <c r="B138" s="204" t="s">
        <v>144</v>
      </c>
      <c r="C138" s="205">
        <v>10</v>
      </c>
    </row>
  </sheetData>
  <mergeCells count="23">
    <mergeCell ref="A60:A62"/>
    <mergeCell ref="A63:A67"/>
    <mergeCell ref="A68:A74"/>
    <mergeCell ref="A75:A80"/>
    <mergeCell ref="A106:A110"/>
    <mergeCell ref="A81:A85"/>
    <mergeCell ref="A86:A90"/>
    <mergeCell ref="A91:A95"/>
    <mergeCell ref="A96:A100"/>
    <mergeCell ref="A101:A105"/>
    <mergeCell ref="A111:A114"/>
    <mergeCell ref="A121:A123"/>
    <mergeCell ref="A124:A128"/>
    <mergeCell ref="A133:A137"/>
    <mergeCell ref="A129:A132"/>
    <mergeCell ref="A115:A120"/>
    <mergeCell ref="B3:I3"/>
    <mergeCell ref="J3:N3"/>
    <mergeCell ref="J5:J8"/>
    <mergeCell ref="K5:K8"/>
    <mergeCell ref="L5:L8"/>
    <mergeCell ref="M5:M8"/>
    <mergeCell ref="N5:N8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F676-08CF-4F3F-8CE8-7440ADB85FAB}">
  <dimension ref="A2:AC176"/>
  <sheetViews>
    <sheetView showGridLines="0" topLeftCell="A161" zoomScale="60" zoomScaleNormal="60" workbookViewId="0">
      <selection activeCell="E171" sqref="E171:E173"/>
    </sheetView>
  </sheetViews>
  <sheetFormatPr defaultColWidth="11.42578125" defaultRowHeight="15" customHeight="1"/>
  <cols>
    <col min="2" max="2" width="70.85546875" customWidth="1"/>
    <col min="3" max="3" width="50.5703125" customWidth="1"/>
    <col min="4" max="4" width="37.42578125" customWidth="1"/>
    <col min="5" max="5" width="28.85546875" customWidth="1"/>
    <col min="6" max="6" width="14.42578125" customWidth="1"/>
    <col min="7" max="7" width="19" customWidth="1"/>
    <col min="8" max="8" width="17.7109375" customWidth="1"/>
    <col min="10" max="10" width="11.85546875" customWidth="1"/>
    <col min="11" max="11" width="13.7109375" customWidth="1"/>
    <col min="15" max="21" width="13" customWidth="1"/>
    <col min="23" max="23" width="17.85546875" bestFit="1" customWidth="1"/>
    <col min="26" max="27" width="11.85546875" customWidth="1"/>
    <col min="28" max="28" width="11.42578125" bestFit="1" customWidth="1"/>
    <col min="36" max="36" width="19.140625" customWidth="1"/>
  </cols>
  <sheetData>
    <row r="2" spans="2:27" thickBot="1"/>
    <row r="3" spans="2:27" ht="21">
      <c r="C3" s="301" t="s">
        <v>57</v>
      </c>
      <c r="D3" s="302"/>
      <c r="E3" s="302"/>
      <c r="F3" s="302"/>
      <c r="G3" s="302"/>
      <c r="H3" s="302"/>
      <c r="I3" s="302"/>
      <c r="J3" s="302"/>
      <c r="K3" s="303" t="s">
        <v>58</v>
      </c>
      <c r="L3" s="304"/>
      <c r="M3" s="304"/>
      <c r="N3" s="304"/>
      <c r="O3" s="305"/>
      <c r="P3" s="194"/>
      <c r="Q3" s="194"/>
      <c r="R3" s="194"/>
      <c r="S3" s="194"/>
      <c r="T3" s="194"/>
      <c r="U3" s="194"/>
    </row>
    <row r="4" spans="2:27" ht="34.5" customHeight="1" thickBot="1">
      <c r="C4" s="165" t="s">
        <v>18</v>
      </c>
      <c r="D4" s="165" t="s">
        <v>19</v>
      </c>
      <c r="E4" s="1" t="s">
        <v>20</v>
      </c>
      <c r="F4" s="165" t="s">
        <v>59</v>
      </c>
      <c r="G4" s="165" t="s">
        <v>22</v>
      </c>
      <c r="H4" s="165" t="s">
        <v>23</v>
      </c>
      <c r="I4" s="165" t="s">
        <v>34</v>
      </c>
      <c r="J4" s="165" t="s">
        <v>25</v>
      </c>
      <c r="K4" s="78" t="s">
        <v>26</v>
      </c>
      <c r="L4" s="78" t="s">
        <v>27</v>
      </c>
      <c r="M4" s="78" t="s">
        <v>28</v>
      </c>
      <c r="N4" s="78" t="s">
        <v>29</v>
      </c>
      <c r="O4" s="78" t="s">
        <v>30</v>
      </c>
      <c r="P4" s="195"/>
      <c r="Q4" s="195"/>
      <c r="R4" s="195"/>
      <c r="S4" s="195"/>
      <c r="T4" s="195"/>
      <c r="U4" s="195"/>
    </row>
    <row r="5" spans="2:27">
      <c r="B5" s="22" t="s">
        <v>35</v>
      </c>
      <c r="C5" s="32">
        <f>+AB19</f>
        <v>89</v>
      </c>
      <c r="D5" s="33">
        <f>+AB23</f>
        <v>38</v>
      </c>
      <c r="E5" s="33">
        <f>+AB30</f>
        <v>25</v>
      </c>
      <c r="F5" s="33">
        <f>+AB34</f>
        <v>34</v>
      </c>
      <c r="G5" s="33">
        <f>+AB38</f>
        <v>49</v>
      </c>
      <c r="H5" s="33">
        <f>+AB42</f>
        <v>29</v>
      </c>
      <c r="I5" s="33">
        <f>+AB46</f>
        <v>29</v>
      </c>
      <c r="J5" s="34">
        <f>+AB50</f>
        <v>29</v>
      </c>
      <c r="K5" s="306">
        <f>+$AB54</f>
        <v>5</v>
      </c>
      <c r="L5" s="306">
        <f>+$AB56</f>
        <v>40</v>
      </c>
      <c r="M5" s="306">
        <f>+$AB57</f>
        <v>12</v>
      </c>
      <c r="N5" s="306">
        <f>+$AB58</f>
        <v>7</v>
      </c>
      <c r="O5" s="309">
        <f>+$AB59</f>
        <v>0</v>
      </c>
      <c r="P5" s="30"/>
      <c r="Q5" s="30"/>
      <c r="R5" s="30"/>
      <c r="S5" s="30"/>
      <c r="T5" s="30"/>
      <c r="U5" s="30"/>
    </row>
    <row r="6" spans="2:27">
      <c r="B6" s="22" t="s">
        <v>37</v>
      </c>
      <c r="C6" s="35">
        <f>+AB20</f>
        <v>85</v>
      </c>
      <c r="D6" s="6">
        <f>+AB26</f>
        <v>38</v>
      </c>
      <c r="E6" s="30">
        <f>+AB31</f>
        <v>0</v>
      </c>
      <c r="F6" s="6">
        <f>+AB35</f>
        <v>34</v>
      </c>
      <c r="G6" s="6">
        <f>+AB39</f>
        <v>49</v>
      </c>
      <c r="H6" s="6">
        <f>+AB43</f>
        <v>29</v>
      </c>
      <c r="I6" s="6">
        <f>+AB47</f>
        <v>29</v>
      </c>
      <c r="J6" s="57">
        <f>+AB51</f>
        <v>29</v>
      </c>
      <c r="K6" s="307"/>
      <c r="L6" s="307"/>
      <c r="M6" s="307"/>
      <c r="N6" s="307"/>
      <c r="O6" s="310"/>
      <c r="P6" s="30"/>
      <c r="Q6" s="30"/>
      <c r="R6" s="30"/>
      <c r="S6" s="30"/>
      <c r="T6" s="30"/>
      <c r="U6" s="30"/>
    </row>
    <row r="7" spans="2:27">
      <c r="B7" s="22" t="s">
        <v>38</v>
      </c>
      <c r="C7" s="35">
        <f>+AB21</f>
        <v>92</v>
      </c>
      <c r="D7" s="6">
        <f>+AB28</f>
        <v>0</v>
      </c>
      <c r="E7" s="30">
        <f>+AB32</f>
        <v>0</v>
      </c>
      <c r="F7" s="6">
        <f>+AB36</f>
        <v>34</v>
      </c>
      <c r="G7" s="6">
        <f>+AB40</f>
        <v>29</v>
      </c>
      <c r="H7" s="6">
        <f>+AB44</f>
        <v>29</v>
      </c>
      <c r="I7" s="6">
        <f>+AB48</f>
        <v>29</v>
      </c>
      <c r="J7" s="57">
        <f>+AB52</f>
        <v>29</v>
      </c>
      <c r="K7" s="307"/>
      <c r="L7" s="307"/>
      <c r="M7" s="307"/>
      <c r="N7" s="307"/>
      <c r="O7" s="310"/>
      <c r="P7" s="30"/>
      <c r="Q7" s="30"/>
      <c r="R7" s="30"/>
      <c r="S7" s="30"/>
      <c r="T7" s="30"/>
      <c r="U7" s="30"/>
    </row>
    <row r="8" spans="2:27" thickBot="1">
      <c r="B8" s="22" t="s">
        <v>39</v>
      </c>
      <c r="C8" s="36">
        <f>+AB22</f>
        <v>92</v>
      </c>
      <c r="D8" s="29">
        <f>+AB29</f>
        <v>0</v>
      </c>
      <c r="E8" s="31">
        <f>+AB33</f>
        <v>0</v>
      </c>
      <c r="F8" s="29">
        <f>+AB37</f>
        <v>51</v>
      </c>
      <c r="G8" s="29">
        <f>+AB41</f>
        <v>29</v>
      </c>
      <c r="H8" s="29">
        <f>+AB45</f>
        <v>0</v>
      </c>
      <c r="I8" s="29">
        <f>+AB49</f>
        <v>29</v>
      </c>
      <c r="J8" s="37">
        <f>+AB53</f>
        <v>29</v>
      </c>
      <c r="K8" s="308"/>
      <c r="L8" s="308"/>
      <c r="M8" s="308"/>
      <c r="N8" s="308"/>
      <c r="O8" s="311"/>
      <c r="P8" s="30"/>
      <c r="Q8" s="30"/>
      <c r="R8" s="30"/>
      <c r="S8" s="30"/>
      <c r="T8" s="30"/>
      <c r="U8" s="30"/>
    </row>
    <row r="15" spans="2:27">
      <c r="E15" s="138">
        <f>+D64</f>
        <v>8</v>
      </c>
      <c r="F15" s="142">
        <f>+D67</f>
        <v>21</v>
      </c>
      <c r="G15" s="142">
        <f>+D72</f>
        <v>60</v>
      </c>
      <c r="H15" s="142">
        <f>+D79</f>
        <v>56</v>
      </c>
      <c r="I15" s="142">
        <f>+D85</f>
        <v>63</v>
      </c>
      <c r="J15" s="142">
        <f>+D90</f>
        <v>29</v>
      </c>
      <c r="K15" s="142">
        <f>+D96</f>
        <v>17</v>
      </c>
      <c r="L15" s="142">
        <f>+D101</f>
        <v>15</v>
      </c>
      <c r="M15" s="142">
        <f>+D105</f>
        <v>20</v>
      </c>
      <c r="N15" s="142">
        <f>+D110</f>
        <v>16</v>
      </c>
      <c r="O15" s="142">
        <f>+D115</f>
        <v>15</v>
      </c>
      <c r="P15" s="142">
        <f>+D119</f>
        <v>20</v>
      </c>
      <c r="Q15" s="142">
        <f>+D124</f>
        <v>11</v>
      </c>
      <c r="R15" s="142">
        <f>+D129</f>
        <v>40</v>
      </c>
      <c r="S15" s="142">
        <f>+D134</f>
        <v>12</v>
      </c>
      <c r="T15" s="142">
        <f>+D138</f>
        <v>7</v>
      </c>
      <c r="U15" s="142">
        <f>+D142</f>
        <v>23</v>
      </c>
      <c r="V15" s="142">
        <f>+D147</f>
        <v>225</v>
      </c>
      <c r="W15" s="142">
        <f>+D153</f>
        <v>38</v>
      </c>
      <c r="X15" s="142">
        <f>+D160</f>
        <v>480</v>
      </c>
      <c r="Y15" s="142">
        <f>+D163</f>
        <v>40</v>
      </c>
      <c r="Z15" s="142">
        <f>+D168</f>
        <v>30</v>
      </c>
      <c r="AA15" s="142">
        <f>+D172</f>
        <v>35</v>
      </c>
    </row>
    <row r="17" spans="1:29">
      <c r="V17" s="196" t="s">
        <v>26</v>
      </c>
      <c r="W17" s="196" t="s">
        <v>145</v>
      </c>
      <c r="X17" s="196" t="s">
        <v>27</v>
      </c>
      <c r="Y17" s="196" t="s">
        <v>28</v>
      </c>
      <c r="Z17" s="196" t="s">
        <v>29</v>
      </c>
      <c r="AA17" s="196" t="s">
        <v>30</v>
      </c>
    </row>
    <row r="18" spans="1:29" ht="29.25">
      <c r="A18" s="63" t="s">
        <v>79</v>
      </c>
      <c r="B18" s="63" t="s">
        <v>60</v>
      </c>
      <c r="C18" s="63" t="s">
        <v>61</v>
      </c>
      <c r="D18" s="63" t="s">
        <v>62</v>
      </c>
      <c r="E18" s="66" t="s">
        <v>63</v>
      </c>
      <c r="F18" s="66" t="s">
        <v>64</v>
      </c>
      <c r="G18" s="66" t="s">
        <v>65</v>
      </c>
      <c r="H18" s="66" t="s">
        <v>66</v>
      </c>
      <c r="I18" s="66" t="s">
        <v>67</v>
      </c>
      <c r="J18" s="66" t="s">
        <v>68</v>
      </c>
      <c r="K18" s="66" t="s">
        <v>69</v>
      </c>
      <c r="L18" s="66" t="s">
        <v>70</v>
      </c>
      <c r="M18" s="66" t="s">
        <v>71</v>
      </c>
      <c r="N18" s="66" t="s">
        <v>72</v>
      </c>
      <c r="O18" s="66" t="s">
        <v>73</v>
      </c>
      <c r="P18" s="66" t="s">
        <v>74</v>
      </c>
      <c r="Q18" s="66" t="s">
        <v>75</v>
      </c>
      <c r="R18" s="66" t="s">
        <v>76</v>
      </c>
      <c r="S18" s="66" t="s">
        <v>77</v>
      </c>
      <c r="T18" s="66" t="s">
        <v>78</v>
      </c>
      <c r="U18" s="66" t="s">
        <v>146</v>
      </c>
      <c r="V18" s="78" t="s">
        <v>147</v>
      </c>
      <c r="W18" s="78" t="s">
        <v>148</v>
      </c>
      <c r="X18" s="78" t="s">
        <v>149</v>
      </c>
      <c r="Y18" s="78" t="s">
        <v>150</v>
      </c>
      <c r="Z18" s="78" t="s">
        <v>151</v>
      </c>
      <c r="AA18" s="78" t="s">
        <v>152</v>
      </c>
      <c r="AB18" s="63" t="s">
        <v>79</v>
      </c>
      <c r="AC18" s="208" t="s">
        <v>153</v>
      </c>
    </row>
    <row r="19" spans="1:29">
      <c r="A19" s="215"/>
      <c r="B19" s="71" t="s">
        <v>18</v>
      </c>
      <c r="C19" s="7" t="s">
        <v>35</v>
      </c>
      <c r="D19" s="64" t="str">
        <f>+_xlfn.CONCAT(B19," - ",C19)</f>
        <v>Derecho de acceso - BNPL</v>
      </c>
      <c r="E19" s="67">
        <v>1</v>
      </c>
      <c r="F19" s="67">
        <v>1</v>
      </c>
      <c r="G19" s="67">
        <v>1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8" t="s">
        <v>36</v>
      </c>
      <c r="W19" s="68" t="s">
        <v>36</v>
      </c>
      <c r="X19" s="68" t="s">
        <v>36</v>
      </c>
      <c r="Y19" s="68" t="s">
        <v>36</v>
      </c>
      <c r="Z19" s="68" t="s">
        <v>36</v>
      </c>
      <c r="AA19" s="68" t="s">
        <v>36</v>
      </c>
      <c r="AB19" s="65">
        <f t="shared" ref="AB19:AB59" si="0">+SUM(IF(E19=1,(1*$D$64),0)+IF(F19=1,(1*$D$67),0)+IF(G19=1,(1*$D$72),0)+IF(H19=1,(1*$D$79),0)+IF(I19=1,(1*$D$85),0)+IF(J19=1,(1*$D$91),0)+IF(K19=1,(1*$D$96),0)+IF(L19=1,(1*$D$101),0)+IF(M19=1,(1*$D$106),0)+IF(N19=1,(1*$D$111),0)+IF(O19=1,(1*$D$116),0)+IF(P19=1,(1*$D$119),0)+IF(V19=1,(1*$D$120),0)+IF(W19=1,(1*$D$126),0)+IF(X19=1,(1*$D$129),0)+IF(Y19=1,(1*$D$134),0)+IF(Z19=1,(1*$D$138),0))</f>
        <v>89</v>
      </c>
      <c r="AC19" s="65">
        <f>SUMIF($E19:$AA19,1,$E$15:$AA$15)</f>
        <v>89</v>
      </c>
    </row>
    <row r="20" spans="1:29">
      <c r="A20" s="215"/>
      <c r="B20" s="71" t="s">
        <v>18</v>
      </c>
      <c r="C20" s="7" t="s">
        <v>37</v>
      </c>
      <c r="D20" s="64" t="str">
        <f t="shared" ref="D20:D59" si="1">+_xlfn.CONCAT(B20," - ",C20)</f>
        <v>Derecho de acceso - Amz GIL</v>
      </c>
      <c r="E20" s="67">
        <v>1</v>
      </c>
      <c r="F20" s="68">
        <v>1</v>
      </c>
      <c r="G20" s="68">
        <v>0</v>
      </c>
      <c r="H20" s="68">
        <v>1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8" t="s">
        <v>36</v>
      </c>
      <c r="W20" s="68" t="s">
        <v>36</v>
      </c>
      <c r="X20" s="68" t="s">
        <v>36</v>
      </c>
      <c r="Y20" s="68" t="s">
        <v>36</v>
      </c>
      <c r="Z20" s="68" t="s">
        <v>36</v>
      </c>
      <c r="AA20" s="68" t="s">
        <v>36</v>
      </c>
      <c r="AB20" s="65">
        <f t="shared" si="0"/>
        <v>85</v>
      </c>
      <c r="AC20" s="65">
        <f t="shared" ref="AC20:AC59" si="2">SUMIF($E20:$AA20,1,$E$15:$AA$15)</f>
        <v>85</v>
      </c>
    </row>
    <row r="21" spans="1:29">
      <c r="A21" s="215"/>
      <c r="B21" s="71" t="s">
        <v>18</v>
      </c>
      <c r="C21" s="7" t="s">
        <v>38</v>
      </c>
      <c r="D21" s="64" t="str">
        <f t="shared" si="1"/>
        <v>Derecho de acceso - CB</v>
      </c>
      <c r="E21" s="67">
        <v>1</v>
      </c>
      <c r="F21" s="68">
        <v>1</v>
      </c>
      <c r="G21" s="68">
        <v>0</v>
      </c>
      <c r="H21" s="68">
        <v>0</v>
      </c>
      <c r="I21" s="67">
        <v>1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8" t="s">
        <v>36</v>
      </c>
      <c r="W21" s="68" t="s">
        <v>36</v>
      </c>
      <c r="X21" s="68" t="s">
        <v>36</v>
      </c>
      <c r="Y21" s="68" t="s">
        <v>36</v>
      </c>
      <c r="Z21" s="68" t="s">
        <v>36</v>
      </c>
      <c r="AA21" s="68" t="s">
        <v>36</v>
      </c>
      <c r="AB21" s="65">
        <f t="shared" si="0"/>
        <v>92</v>
      </c>
      <c r="AC21" s="65">
        <f t="shared" si="2"/>
        <v>92</v>
      </c>
    </row>
    <row r="22" spans="1:29">
      <c r="A22" s="215"/>
      <c r="B22" s="71" t="s">
        <v>18</v>
      </c>
      <c r="C22" s="7" t="s">
        <v>39</v>
      </c>
      <c r="D22" s="64" t="str">
        <f t="shared" si="1"/>
        <v>Derecho de acceso - Branch</v>
      </c>
      <c r="E22" s="67">
        <v>1</v>
      </c>
      <c r="F22" s="68">
        <v>1</v>
      </c>
      <c r="G22" s="68">
        <v>0</v>
      </c>
      <c r="H22" s="68">
        <v>0</v>
      </c>
      <c r="I22" s="67">
        <v>1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8" t="s">
        <v>36</v>
      </c>
      <c r="W22" s="68" t="s">
        <v>36</v>
      </c>
      <c r="X22" s="68" t="s">
        <v>36</v>
      </c>
      <c r="Y22" s="68" t="s">
        <v>36</v>
      </c>
      <c r="Z22" s="68" t="s">
        <v>36</v>
      </c>
      <c r="AA22" s="68" t="s">
        <v>36</v>
      </c>
      <c r="AB22" s="65">
        <f t="shared" si="0"/>
        <v>92</v>
      </c>
      <c r="AC22" s="65">
        <f t="shared" si="2"/>
        <v>92</v>
      </c>
    </row>
    <row r="23" spans="1:29">
      <c r="A23" s="215"/>
      <c r="B23" s="71" t="s">
        <v>19</v>
      </c>
      <c r="C23" s="7" t="s">
        <v>154</v>
      </c>
      <c r="D23" s="64" t="str">
        <f t="shared" si="1"/>
        <v>Derecho de rectificación - BNPL (Email/Teléfono)</v>
      </c>
      <c r="E23" s="67">
        <v>1</v>
      </c>
      <c r="F23" s="68">
        <v>1</v>
      </c>
      <c r="G23" s="68">
        <v>0</v>
      </c>
      <c r="H23" s="68">
        <v>0</v>
      </c>
      <c r="I23" s="67">
        <v>0</v>
      </c>
      <c r="J23" s="67">
        <v>1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8" t="s">
        <v>36</v>
      </c>
      <c r="W23" s="68" t="s">
        <v>36</v>
      </c>
      <c r="X23" s="68" t="s">
        <v>36</v>
      </c>
      <c r="Y23" s="68" t="s">
        <v>36</v>
      </c>
      <c r="Z23" s="68" t="s">
        <v>36</v>
      </c>
      <c r="AA23" s="68" t="s">
        <v>36</v>
      </c>
      <c r="AB23" s="65">
        <f t="shared" si="0"/>
        <v>38</v>
      </c>
      <c r="AC23" s="65">
        <f t="shared" si="2"/>
        <v>58</v>
      </c>
    </row>
    <row r="24" spans="1:29" s="145" customFormat="1">
      <c r="A24" s="215"/>
      <c r="B24" s="71" t="s">
        <v>19</v>
      </c>
      <c r="C24" s="7" t="s">
        <v>155</v>
      </c>
      <c r="D24" s="64" t="str">
        <f t="shared" ref="D24" si="3">+_xlfn.CONCAT(B24," - ",C24)</f>
        <v>Derecho de rectificación - BNPL (IBAN)</v>
      </c>
      <c r="E24" s="67">
        <v>1</v>
      </c>
      <c r="F24" s="68">
        <v>1</v>
      </c>
      <c r="G24" s="68">
        <v>0</v>
      </c>
      <c r="H24" s="68">
        <v>0</v>
      </c>
      <c r="I24" s="67">
        <v>0</v>
      </c>
      <c r="J24" s="67">
        <v>0</v>
      </c>
      <c r="K24" s="67">
        <v>0</v>
      </c>
      <c r="L24" s="67">
        <v>1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8" t="s">
        <v>36</v>
      </c>
      <c r="W24" s="68" t="s">
        <v>36</v>
      </c>
      <c r="X24" s="68" t="s">
        <v>36</v>
      </c>
      <c r="Y24" s="68" t="s">
        <v>36</v>
      </c>
      <c r="Z24" s="68" t="s">
        <v>36</v>
      </c>
      <c r="AA24" s="68" t="s">
        <v>36</v>
      </c>
      <c r="AB24" s="65">
        <f t="shared" si="0"/>
        <v>44</v>
      </c>
      <c r="AC24" s="65">
        <f t="shared" si="2"/>
        <v>44</v>
      </c>
    </row>
    <row r="25" spans="1:29" s="145" customFormat="1">
      <c r="A25" s="215"/>
      <c r="B25" s="71" t="s">
        <v>19</v>
      </c>
      <c r="C25" s="7" t="s">
        <v>156</v>
      </c>
      <c r="D25" s="64" t="str">
        <f t="shared" ref="D25" si="4">+_xlfn.CONCAT(B25," - ",C25)</f>
        <v>Derecho de rectificación - BNPL (Dirección, Nombre, Fecha de Nacimiento)</v>
      </c>
      <c r="E25" s="67">
        <v>1</v>
      </c>
      <c r="F25" s="68">
        <v>1</v>
      </c>
      <c r="G25" s="68">
        <v>0</v>
      </c>
      <c r="H25" s="68">
        <v>0</v>
      </c>
      <c r="I25" s="67">
        <v>0</v>
      </c>
      <c r="J25" s="67">
        <v>1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8" t="s">
        <v>36</v>
      </c>
      <c r="W25" s="68" t="s">
        <v>36</v>
      </c>
      <c r="X25" s="68" t="s">
        <v>36</v>
      </c>
      <c r="Y25" s="68" t="s">
        <v>36</v>
      </c>
      <c r="Z25" s="68" t="s">
        <v>36</v>
      </c>
      <c r="AA25" s="68" t="s">
        <v>36</v>
      </c>
      <c r="AB25" s="65">
        <f t="shared" si="0"/>
        <v>38</v>
      </c>
      <c r="AC25" s="65">
        <f t="shared" si="2"/>
        <v>58</v>
      </c>
    </row>
    <row r="26" spans="1:29" s="145" customFormat="1">
      <c r="A26" s="215"/>
      <c r="B26" s="71" t="s">
        <v>19</v>
      </c>
      <c r="C26" s="7" t="s">
        <v>157</v>
      </c>
      <c r="D26" s="64" t="str">
        <f t="shared" si="1"/>
        <v>Derecho de rectificación - Amz GIL (Email / Teléfono)</v>
      </c>
      <c r="E26" s="67">
        <v>1</v>
      </c>
      <c r="F26" s="68">
        <v>1</v>
      </c>
      <c r="G26" s="68">
        <v>0</v>
      </c>
      <c r="H26" s="68">
        <v>0</v>
      </c>
      <c r="I26" s="67">
        <v>0</v>
      </c>
      <c r="J26" s="67">
        <v>1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8" t="s">
        <v>36</v>
      </c>
      <c r="W26" s="68" t="s">
        <v>36</v>
      </c>
      <c r="X26" s="68" t="s">
        <v>36</v>
      </c>
      <c r="Y26" s="68" t="s">
        <v>36</v>
      </c>
      <c r="Z26" s="68" t="s">
        <v>36</v>
      </c>
      <c r="AA26" s="68" t="s">
        <v>36</v>
      </c>
      <c r="AB26" s="65">
        <f t="shared" si="0"/>
        <v>38</v>
      </c>
      <c r="AC26" s="65">
        <f t="shared" si="2"/>
        <v>58</v>
      </c>
    </row>
    <row r="27" spans="1:29" s="145" customFormat="1">
      <c r="A27" s="215"/>
      <c r="B27" s="71" t="s">
        <v>19</v>
      </c>
      <c r="C27" s="7" t="s">
        <v>158</v>
      </c>
      <c r="D27" s="64" t="str">
        <f t="shared" ref="D27" si="5">+_xlfn.CONCAT(B27," - ",C27)</f>
        <v>Derecho de rectificación - Amz GIL (Dirección, Nombre, Fecha de Nacimiento)</v>
      </c>
      <c r="E27" s="67">
        <v>1</v>
      </c>
      <c r="F27" s="68">
        <v>1</v>
      </c>
      <c r="G27" s="68">
        <v>0</v>
      </c>
      <c r="H27" s="68">
        <v>0</v>
      </c>
      <c r="I27" s="67">
        <v>0</v>
      </c>
      <c r="J27" s="67">
        <v>0</v>
      </c>
      <c r="K27" s="67">
        <v>0</v>
      </c>
      <c r="L27" s="67">
        <v>0</v>
      </c>
      <c r="M27" s="67">
        <v>1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0</v>
      </c>
      <c r="V27" s="68" t="s">
        <v>36</v>
      </c>
      <c r="W27" s="68" t="s">
        <v>36</v>
      </c>
      <c r="X27" s="68" t="s">
        <v>36</v>
      </c>
      <c r="Y27" s="68" t="s">
        <v>36</v>
      </c>
      <c r="Z27" s="68" t="s">
        <v>36</v>
      </c>
      <c r="AA27" s="68" t="s">
        <v>36</v>
      </c>
      <c r="AB27" s="65">
        <f t="shared" si="0"/>
        <v>34</v>
      </c>
      <c r="AC27" s="65">
        <f t="shared" si="2"/>
        <v>49</v>
      </c>
    </row>
    <row r="28" spans="1:29">
      <c r="A28" s="215"/>
      <c r="B28" s="71" t="s">
        <v>19</v>
      </c>
      <c r="C28" s="7" t="s">
        <v>38</v>
      </c>
      <c r="D28" s="64" t="str">
        <f t="shared" si="1"/>
        <v>Derecho de rectificación - CB</v>
      </c>
      <c r="E28" s="67">
        <v>0</v>
      </c>
      <c r="F28" s="68">
        <v>0</v>
      </c>
      <c r="G28" s="68">
        <v>0</v>
      </c>
      <c r="H28" s="68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8" t="s">
        <v>36</v>
      </c>
      <c r="W28" s="68" t="s">
        <v>36</v>
      </c>
      <c r="X28" s="68" t="s">
        <v>36</v>
      </c>
      <c r="Y28" s="68" t="s">
        <v>36</v>
      </c>
      <c r="Z28" s="68" t="s">
        <v>36</v>
      </c>
      <c r="AA28" s="68" t="s">
        <v>36</v>
      </c>
      <c r="AB28" s="65">
        <f t="shared" si="0"/>
        <v>0</v>
      </c>
      <c r="AC28" s="65">
        <f t="shared" si="2"/>
        <v>0</v>
      </c>
    </row>
    <row r="29" spans="1:29">
      <c r="A29" s="215"/>
      <c r="B29" s="71" t="s">
        <v>19</v>
      </c>
      <c r="C29" s="7" t="s">
        <v>39</v>
      </c>
      <c r="D29" s="64" t="str">
        <f t="shared" si="1"/>
        <v>Derecho de rectificación - Branch</v>
      </c>
      <c r="E29" s="67">
        <v>0</v>
      </c>
      <c r="F29" s="68">
        <v>0</v>
      </c>
      <c r="G29" s="68">
        <v>0</v>
      </c>
      <c r="H29" s="68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0</v>
      </c>
      <c r="T29" s="67">
        <v>0</v>
      </c>
      <c r="U29" s="67">
        <v>0</v>
      </c>
      <c r="V29" s="68" t="s">
        <v>36</v>
      </c>
      <c r="W29" s="68" t="s">
        <v>36</v>
      </c>
      <c r="X29" s="68" t="s">
        <v>36</v>
      </c>
      <c r="Y29" s="68" t="s">
        <v>36</v>
      </c>
      <c r="Z29" s="68" t="s">
        <v>36</v>
      </c>
      <c r="AA29" s="68" t="s">
        <v>36</v>
      </c>
      <c r="AB29" s="65">
        <f t="shared" si="0"/>
        <v>0</v>
      </c>
      <c r="AC29" s="65">
        <f t="shared" si="2"/>
        <v>0</v>
      </c>
    </row>
    <row r="30" spans="1:29">
      <c r="A30" s="215"/>
      <c r="B30" s="71" t="s">
        <v>20</v>
      </c>
      <c r="C30" s="7" t="s">
        <v>35</v>
      </c>
      <c r="D30" s="64" t="str">
        <f t="shared" si="1"/>
        <v>Derecho de rectificación - Cartas físicas - BNPL</v>
      </c>
      <c r="E30" s="67">
        <v>1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1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 t="s">
        <v>36</v>
      </c>
      <c r="W30" s="68" t="s">
        <v>36</v>
      </c>
      <c r="X30" s="68" t="s">
        <v>36</v>
      </c>
      <c r="Y30" s="68" t="s">
        <v>36</v>
      </c>
      <c r="Z30" s="68" t="s">
        <v>36</v>
      </c>
      <c r="AA30" s="68" t="s">
        <v>36</v>
      </c>
      <c r="AB30" s="65">
        <f t="shared" si="0"/>
        <v>25</v>
      </c>
      <c r="AC30" s="65">
        <f t="shared" si="2"/>
        <v>25</v>
      </c>
    </row>
    <row r="31" spans="1:29">
      <c r="A31" s="215"/>
      <c r="B31" s="71" t="s">
        <v>20</v>
      </c>
      <c r="C31" s="7" t="s">
        <v>37</v>
      </c>
      <c r="D31" s="64" t="str">
        <f t="shared" si="1"/>
        <v>Derecho de rectificación - Cartas físicas - Amz GIL</v>
      </c>
      <c r="E31" s="67">
        <v>0</v>
      </c>
      <c r="F31" s="68">
        <v>0</v>
      </c>
      <c r="G31" s="68">
        <v>0</v>
      </c>
      <c r="H31" s="68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8" t="s">
        <v>36</v>
      </c>
      <c r="W31" s="68" t="s">
        <v>36</v>
      </c>
      <c r="X31" s="68" t="s">
        <v>36</v>
      </c>
      <c r="Y31" s="68" t="s">
        <v>36</v>
      </c>
      <c r="Z31" s="68" t="s">
        <v>36</v>
      </c>
      <c r="AA31" s="68" t="s">
        <v>36</v>
      </c>
      <c r="AB31" s="65">
        <f t="shared" si="0"/>
        <v>0</v>
      </c>
      <c r="AC31" s="65">
        <f t="shared" si="2"/>
        <v>0</v>
      </c>
    </row>
    <row r="32" spans="1:29">
      <c r="A32" s="215"/>
      <c r="B32" s="71" t="s">
        <v>20</v>
      </c>
      <c r="C32" s="7" t="s">
        <v>38</v>
      </c>
      <c r="D32" s="64" t="str">
        <f t="shared" si="1"/>
        <v>Derecho de rectificación - Cartas físicas - CB</v>
      </c>
      <c r="E32" s="67">
        <v>0</v>
      </c>
      <c r="F32" s="68">
        <v>0</v>
      </c>
      <c r="G32" s="68">
        <v>0</v>
      </c>
      <c r="H32" s="68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67">
        <v>0</v>
      </c>
      <c r="S32" s="67">
        <v>0</v>
      </c>
      <c r="T32" s="67">
        <v>0</v>
      </c>
      <c r="U32" s="67">
        <v>0</v>
      </c>
      <c r="V32" s="68" t="s">
        <v>36</v>
      </c>
      <c r="W32" s="68" t="s">
        <v>36</v>
      </c>
      <c r="X32" s="68" t="s">
        <v>36</v>
      </c>
      <c r="Y32" s="68" t="s">
        <v>36</v>
      </c>
      <c r="Z32" s="68" t="s">
        <v>36</v>
      </c>
      <c r="AA32" s="68" t="s">
        <v>36</v>
      </c>
      <c r="AB32" s="65">
        <f t="shared" si="0"/>
        <v>0</v>
      </c>
      <c r="AC32" s="65">
        <f t="shared" si="2"/>
        <v>0</v>
      </c>
    </row>
    <row r="33" spans="1:29">
      <c r="A33" s="215"/>
      <c r="B33" s="71" t="s">
        <v>20</v>
      </c>
      <c r="C33" s="7" t="s">
        <v>39</v>
      </c>
      <c r="D33" s="64" t="str">
        <f t="shared" si="1"/>
        <v>Derecho de rectificación - Cartas físicas - Branch</v>
      </c>
      <c r="E33" s="67">
        <v>0</v>
      </c>
      <c r="F33" s="68">
        <v>0</v>
      </c>
      <c r="G33" s="68">
        <v>0</v>
      </c>
      <c r="H33" s="68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v>0</v>
      </c>
      <c r="T33" s="67">
        <v>0</v>
      </c>
      <c r="U33" s="67">
        <v>0</v>
      </c>
      <c r="V33" s="68" t="s">
        <v>36</v>
      </c>
      <c r="W33" s="68" t="s">
        <v>36</v>
      </c>
      <c r="X33" s="68" t="s">
        <v>36</v>
      </c>
      <c r="Y33" s="68" t="s">
        <v>36</v>
      </c>
      <c r="Z33" s="68" t="s">
        <v>36</v>
      </c>
      <c r="AA33" s="68" t="s">
        <v>36</v>
      </c>
      <c r="AB33" s="65">
        <f t="shared" si="0"/>
        <v>0</v>
      </c>
      <c r="AC33" s="65">
        <f t="shared" si="2"/>
        <v>0</v>
      </c>
    </row>
    <row r="34" spans="1:29">
      <c r="A34" s="215"/>
      <c r="B34" s="71" t="s">
        <v>80</v>
      </c>
      <c r="C34" s="7" t="s">
        <v>35</v>
      </c>
      <c r="D34" s="64" t="str">
        <f t="shared" si="1"/>
        <v>Derecho de supresión - BNPL</v>
      </c>
      <c r="E34" s="67">
        <v>1</v>
      </c>
      <c r="F34" s="68">
        <v>1</v>
      </c>
      <c r="G34" s="68">
        <v>0</v>
      </c>
      <c r="H34" s="68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1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8" t="s">
        <v>36</v>
      </c>
      <c r="W34" s="68" t="s">
        <v>36</v>
      </c>
      <c r="X34" s="68" t="s">
        <v>36</v>
      </c>
      <c r="Y34" s="68" t="s">
        <v>36</v>
      </c>
      <c r="Z34" s="68" t="s">
        <v>36</v>
      </c>
      <c r="AA34" s="68" t="s">
        <v>36</v>
      </c>
      <c r="AB34" s="65">
        <f t="shared" si="0"/>
        <v>34</v>
      </c>
      <c r="AC34" s="65">
        <f t="shared" si="2"/>
        <v>44</v>
      </c>
    </row>
    <row r="35" spans="1:29">
      <c r="A35" s="215"/>
      <c r="B35" s="71" t="s">
        <v>80</v>
      </c>
      <c r="C35" s="7" t="s">
        <v>37</v>
      </c>
      <c r="D35" s="64" t="str">
        <f t="shared" si="1"/>
        <v>Derecho de supresión - Amz GIL</v>
      </c>
      <c r="E35" s="67">
        <v>1</v>
      </c>
      <c r="F35" s="68">
        <v>1</v>
      </c>
      <c r="G35" s="68">
        <v>0</v>
      </c>
      <c r="H35" s="68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1</v>
      </c>
      <c r="P35" s="67">
        <v>0</v>
      </c>
      <c r="Q35" s="67">
        <v>0</v>
      </c>
      <c r="R35" s="67">
        <v>0</v>
      </c>
      <c r="S35" s="67">
        <v>0</v>
      </c>
      <c r="T35" s="67">
        <v>0</v>
      </c>
      <c r="U35" s="67">
        <v>0</v>
      </c>
      <c r="V35" s="68" t="s">
        <v>36</v>
      </c>
      <c r="W35" s="68" t="s">
        <v>36</v>
      </c>
      <c r="X35" s="68" t="s">
        <v>36</v>
      </c>
      <c r="Y35" s="68" t="s">
        <v>36</v>
      </c>
      <c r="Z35" s="68" t="s">
        <v>36</v>
      </c>
      <c r="AA35" s="68" t="s">
        <v>36</v>
      </c>
      <c r="AB35" s="65">
        <f t="shared" si="0"/>
        <v>34</v>
      </c>
      <c r="AC35" s="65">
        <f t="shared" si="2"/>
        <v>44</v>
      </c>
    </row>
    <row r="36" spans="1:29">
      <c r="A36" s="215"/>
      <c r="B36" s="71" t="s">
        <v>80</v>
      </c>
      <c r="C36" s="7" t="s">
        <v>38</v>
      </c>
      <c r="D36" s="64" t="str">
        <f t="shared" si="1"/>
        <v>Derecho de supresión - CB</v>
      </c>
      <c r="E36" s="67">
        <v>1</v>
      </c>
      <c r="F36" s="68">
        <v>1</v>
      </c>
      <c r="G36" s="68">
        <v>0</v>
      </c>
      <c r="H36" s="68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1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8" t="s">
        <v>36</v>
      </c>
      <c r="W36" s="68" t="s">
        <v>36</v>
      </c>
      <c r="X36" s="68" t="s">
        <v>36</v>
      </c>
      <c r="Y36" s="68" t="s">
        <v>36</v>
      </c>
      <c r="Z36" s="68" t="s">
        <v>36</v>
      </c>
      <c r="AA36" s="68" t="s">
        <v>36</v>
      </c>
      <c r="AB36" s="65">
        <f t="shared" si="0"/>
        <v>34</v>
      </c>
      <c r="AC36" s="65">
        <f t="shared" si="2"/>
        <v>45</v>
      </c>
    </row>
    <row r="37" spans="1:29">
      <c r="A37" s="215"/>
      <c r="B37" s="71" t="s">
        <v>80</v>
      </c>
      <c r="C37" s="7" t="s">
        <v>39</v>
      </c>
      <c r="D37" s="64" t="str">
        <f t="shared" si="1"/>
        <v>Derecho de supresión - Branch</v>
      </c>
      <c r="E37" s="67">
        <v>1</v>
      </c>
      <c r="F37" s="68">
        <v>1</v>
      </c>
      <c r="G37" s="68">
        <v>0</v>
      </c>
      <c r="H37" s="68">
        <v>0</v>
      </c>
      <c r="I37" s="67">
        <v>0</v>
      </c>
      <c r="J37" s="67">
        <v>0</v>
      </c>
      <c r="K37" s="67">
        <v>1</v>
      </c>
      <c r="L37" s="67">
        <v>0</v>
      </c>
      <c r="M37" s="67">
        <v>0</v>
      </c>
      <c r="N37" s="67">
        <v>1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67">
        <v>0</v>
      </c>
      <c r="U37" s="67">
        <v>0</v>
      </c>
      <c r="V37" s="68" t="s">
        <v>36</v>
      </c>
      <c r="W37" s="68" t="s">
        <v>36</v>
      </c>
      <c r="X37" s="68" t="s">
        <v>36</v>
      </c>
      <c r="Y37" s="68" t="s">
        <v>36</v>
      </c>
      <c r="Z37" s="68" t="s">
        <v>36</v>
      </c>
      <c r="AA37" s="68" t="s">
        <v>36</v>
      </c>
      <c r="AB37" s="65">
        <f t="shared" si="0"/>
        <v>51</v>
      </c>
      <c r="AC37" s="65">
        <f t="shared" si="2"/>
        <v>62</v>
      </c>
    </row>
    <row r="38" spans="1:29">
      <c r="A38" s="215"/>
      <c r="B38" s="71" t="s">
        <v>22</v>
      </c>
      <c r="C38" s="7" t="s">
        <v>35</v>
      </c>
      <c r="D38" s="64" t="str">
        <f t="shared" si="1"/>
        <v>Derecho de oposición  - BNPL</v>
      </c>
      <c r="E38" s="67">
        <v>1</v>
      </c>
      <c r="F38" s="68">
        <v>1</v>
      </c>
      <c r="G38" s="68">
        <v>0</v>
      </c>
      <c r="H38" s="68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1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8" t="s">
        <v>36</v>
      </c>
      <c r="W38" s="68" t="s">
        <v>36</v>
      </c>
      <c r="X38" s="68" t="s">
        <v>36</v>
      </c>
      <c r="Y38" s="68" t="s">
        <v>36</v>
      </c>
      <c r="Z38" s="68" t="s">
        <v>36</v>
      </c>
      <c r="AA38" s="68" t="s">
        <v>36</v>
      </c>
      <c r="AB38" s="65">
        <f t="shared" si="0"/>
        <v>49</v>
      </c>
      <c r="AC38" s="65">
        <f t="shared" si="2"/>
        <v>49</v>
      </c>
    </row>
    <row r="39" spans="1:29">
      <c r="A39" s="215"/>
      <c r="B39" s="71" t="s">
        <v>22</v>
      </c>
      <c r="C39" s="7" t="s">
        <v>37</v>
      </c>
      <c r="D39" s="64" t="str">
        <f t="shared" si="1"/>
        <v>Derecho de oposición  - Amz GIL</v>
      </c>
      <c r="E39" s="67">
        <v>1</v>
      </c>
      <c r="F39" s="68">
        <v>1</v>
      </c>
      <c r="G39" s="68">
        <v>0</v>
      </c>
      <c r="H39" s="68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1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8" t="s">
        <v>36</v>
      </c>
      <c r="W39" s="68" t="s">
        <v>36</v>
      </c>
      <c r="X39" s="68" t="s">
        <v>36</v>
      </c>
      <c r="Y39" s="68" t="s">
        <v>36</v>
      </c>
      <c r="Z39" s="68" t="s">
        <v>36</v>
      </c>
      <c r="AA39" s="68" t="s">
        <v>36</v>
      </c>
      <c r="AB39" s="65">
        <f t="shared" si="0"/>
        <v>49</v>
      </c>
      <c r="AC39" s="65">
        <f t="shared" si="2"/>
        <v>49</v>
      </c>
    </row>
    <row r="40" spans="1:29">
      <c r="A40" s="215"/>
      <c r="B40" s="71" t="s">
        <v>22</v>
      </c>
      <c r="C40" s="7" t="s">
        <v>38</v>
      </c>
      <c r="D40" s="64" t="str">
        <f t="shared" si="1"/>
        <v>Derecho de oposición  - CB</v>
      </c>
      <c r="E40" s="67">
        <v>1</v>
      </c>
      <c r="F40" s="68">
        <v>1</v>
      </c>
      <c r="G40" s="68">
        <v>0</v>
      </c>
      <c r="H40" s="68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1</v>
      </c>
      <c r="R40" s="67">
        <v>0</v>
      </c>
      <c r="S40" s="67">
        <v>0</v>
      </c>
      <c r="T40" s="67">
        <v>0</v>
      </c>
      <c r="U40" s="67">
        <v>0</v>
      </c>
      <c r="V40" s="68" t="s">
        <v>36</v>
      </c>
      <c r="W40" s="68" t="s">
        <v>36</v>
      </c>
      <c r="X40" s="68" t="s">
        <v>36</v>
      </c>
      <c r="Y40" s="68" t="s">
        <v>36</v>
      </c>
      <c r="Z40" s="68" t="s">
        <v>36</v>
      </c>
      <c r="AA40" s="68" t="s">
        <v>36</v>
      </c>
      <c r="AB40" s="65">
        <f t="shared" si="0"/>
        <v>29</v>
      </c>
      <c r="AC40" s="65">
        <f t="shared" si="2"/>
        <v>40</v>
      </c>
    </row>
    <row r="41" spans="1:29">
      <c r="A41" s="215"/>
      <c r="B41" s="71" t="s">
        <v>22</v>
      </c>
      <c r="C41" s="7" t="s">
        <v>39</v>
      </c>
      <c r="D41" s="64" t="str">
        <f t="shared" si="1"/>
        <v>Derecho de oposición  - Branch</v>
      </c>
      <c r="E41" s="67">
        <v>1</v>
      </c>
      <c r="F41" s="68">
        <v>1</v>
      </c>
      <c r="G41" s="68">
        <v>0</v>
      </c>
      <c r="H41" s="68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1</v>
      </c>
      <c r="R41" s="67">
        <v>0</v>
      </c>
      <c r="S41" s="67">
        <v>0</v>
      </c>
      <c r="T41" s="67">
        <v>0</v>
      </c>
      <c r="U41" s="67">
        <v>0</v>
      </c>
      <c r="V41" s="68" t="s">
        <v>36</v>
      </c>
      <c r="W41" s="68" t="s">
        <v>36</v>
      </c>
      <c r="X41" s="68" t="s">
        <v>36</v>
      </c>
      <c r="Y41" s="68" t="s">
        <v>36</v>
      </c>
      <c r="Z41" s="68" t="s">
        <v>36</v>
      </c>
      <c r="AA41" s="68" t="s">
        <v>36</v>
      </c>
      <c r="AB41" s="65">
        <f t="shared" si="0"/>
        <v>29</v>
      </c>
      <c r="AC41" s="65">
        <f t="shared" si="2"/>
        <v>40</v>
      </c>
    </row>
    <row r="42" spans="1:29">
      <c r="A42" s="215"/>
      <c r="B42" s="71" t="s">
        <v>23</v>
      </c>
      <c r="C42" s="7" t="s">
        <v>35</v>
      </c>
      <c r="D42" s="64" t="str">
        <f t="shared" si="1"/>
        <v>Derecho revisión manual - incremento límite - BNPL</v>
      </c>
      <c r="E42" s="67">
        <v>1</v>
      </c>
      <c r="F42" s="68">
        <v>1</v>
      </c>
      <c r="G42" s="68">
        <v>0</v>
      </c>
      <c r="H42" s="68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8" t="s">
        <v>36</v>
      </c>
      <c r="W42" s="68" t="s">
        <v>36</v>
      </c>
      <c r="X42" s="68" t="s">
        <v>36</v>
      </c>
      <c r="Y42" s="68" t="s">
        <v>36</v>
      </c>
      <c r="Z42" s="68" t="s">
        <v>36</v>
      </c>
      <c r="AA42" s="68" t="s">
        <v>36</v>
      </c>
      <c r="AB42" s="65">
        <f t="shared" si="0"/>
        <v>29</v>
      </c>
      <c r="AC42" s="65">
        <f t="shared" si="2"/>
        <v>29</v>
      </c>
    </row>
    <row r="43" spans="1:29">
      <c r="A43" s="215"/>
      <c r="B43" s="71" t="s">
        <v>23</v>
      </c>
      <c r="C43" s="7" t="s">
        <v>37</v>
      </c>
      <c r="D43" s="64" t="str">
        <f t="shared" si="1"/>
        <v>Derecho revisión manual - incremento límite - Amz GIL</v>
      </c>
      <c r="E43" s="67">
        <v>1</v>
      </c>
      <c r="F43" s="68">
        <v>1</v>
      </c>
      <c r="G43" s="68">
        <v>0</v>
      </c>
      <c r="H43" s="68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8" t="s">
        <v>36</v>
      </c>
      <c r="W43" s="68" t="s">
        <v>36</v>
      </c>
      <c r="X43" s="68" t="s">
        <v>36</v>
      </c>
      <c r="Y43" s="68" t="s">
        <v>36</v>
      </c>
      <c r="Z43" s="68" t="s">
        <v>36</v>
      </c>
      <c r="AA43" s="68" t="s">
        <v>36</v>
      </c>
      <c r="AB43" s="65">
        <f t="shared" si="0"/>
        <v>29</v>
      </c>
      <c r="AC43" s="65">
        <f t="shared" si="2"/>
        <v>29</v>
      </c>
    </row>
    <row r="44" spans="1:29">
      <c r="A44" s="215"/>
      <c r="B44" s="71" t="s">
        <v>23</v>
      </c>
      <c r="C44" s="7" t="s">
        <v>38</v>
      </c>
      <c r="D44" s="64" t="str">
        <f t="shared" si="1"/>
        <v>Derecho revisión manual - incremento límite - CB</v>
      </c>
      <c r="E44" s="67">
        <v>1</v>
      </c>
      <c r="F44" s="68">
        <v>1</v>
      </c>
      <c r="G44" s="68">
        <v>0</v>
      </c>
      <c r="H44" s="68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7">
        <v>0</v>
      </c>
      <c r="U44" s="67">
        <v>0</v>
      </c>
      <c r="V44" s="68" t="s">
        <v>36</v>
      </c>
      <c r="W44" s="68" t="s">
        <v>36</v>
      </c>
      <c r="X44" s="68" t="s">
        <v>36</v>
      </c>
      <c r="Y44" s="68" t="s">
        <v>36</v>
      </c>
      <c r="Z44" s="68" t="s">
        <v>36</v>
      </c>
      <c r="AA44" s="68" t="s">
        <v>36</v>
      </c>
      <c r="AB44" s="65">
        <f t="shared" si="0"/>
        <v>29</v>
      </c>
      <c r="AC44" s="65">
        <f t="shared" si="2"/>
        <v>29</v>
      </c>
    </row>
    <row r="45" spans="1:29">
      <c r="A45" s="215"/>
      <c r="B45" s="71" t="s">
        <v>23</v>
      </c>
      <c r="C45" s="7" t="s">
        <v>39</v>
      </c>
      <c r="D45" s="64" t="str">
        <f t="shared" si="1"/>
        <v>Derecho revisión manual - incremento límite - Branch</v>
      </c>
      <c r="E45" s="67">
        <v>0</v>
      </c>
      <c r="F45" s="68">
        <v>0</v>
      </c>
      <c r="G45" s="68">
        <v>0</v>
      </c>
      <c r="H45" s="68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v>0</v>
      </c>
      <c r="T45" s="67">
        <v>0</v>
      </c>
      <c r="U45" s="67">
        <v>0</v>
      </c>
      <c r="V45" s="68" t="s">
        <v>36</v>
      </c>
      <c r="W45" s="68" t="s">
        <v>36</v>
      </c>
      <c r="X45" s="68" t="s">
        <v>36</v>
      </c>
      <c r="Y45" s="68" t="s">
        <v>36</v>
      </c>
      <c r="Z45" s="68" t="s">
        <v>36</v>
      </c>
      <c r="AA45" s="68" t="s">
        <v>36</v>
      </c>
      <c r="AB45" s="65">
        <f t="shared" si="0"/>
        <v>0</v>
      </c>
      <c r="AC45" s="65">
        <f t="shared" si="2"/>
        <v>0</v>
      </c>
    </row>
    <row r="46" spans="1:29">
      <c r="A46" s="215"/>
      <c r="B46" s="71" t="s">
        <v>24</v>
      </c>
      <c r="C46" s="7" t="s">
        <v>35</v>
      </c>
      <c r="D46" s="64" t="str">
        <f t="shared" si="1"/>
        <v>Motivo de denegación  - BNPL</v>
      </c>
      <c r="E46" s="67">
        <v>1</v>
      </c>
      <c r="F46" s="68">
        <v>1</v>
      </c>
      <c r="G46" s="68">
        <v>0</v>
      </c>
      <c r="H46" s="68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  <c r="R46" s="67">
        <v>0</v>
      </c>
      <c r="S46" s="67">
        <v>1</v>
      </c>
      <c r="T46" s="67">
        <v>0</v>
      </c>
      <c r="U46" s="67">
        <v>0</v>
      </c>
      <c r="V46" s="68" t="s">
        <v>36</v>
      </c>
      <c r="W46" s="68" t="s">
        <v>36</v>
      </c>
      <c r="X46" s="68" t="s">
        <v>36</v>
      </c>
      <c r="Y46" s="68" t="s">
        <v>36</v>
      </c>
      <c r="Z46" s="68" t="s">
        <v>36</v>
      </c>
      <c r="AA46" s="68" t="s">
        <v>36</v>
      </c>
      <c r="AB46" s="65">
        <f t="shared" si="0"/>
        <v>29</v>
      </c>
      <c r="AC46" s="65">
        <f t="shared" si="2"/>
        <v>41</v>
      </c>
    </row>
    <row r="47" spans="1:29">
      <c r="A47" s="215"/>
      <c r="B47" s="71" t="s">
        <v>24</v>
      </c>
      <c r="C47" s="7" t="s">
        <v>37</v>
      </c>
      <c r="D47" s="64" t="str">
        <f t="shared" si="1"/>
        <v>Motivo de denegación  - Amz GIL</v>
      </c>
      <c r="E47" s="67">
        <v>1</v>
      </c>
      <c r="F47" s="68">
        <v>1</v>
      </c>
      <c r="G47" s="68">
        <v>0</v>
      </c>
      <c r="H47" s="68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v>0</v>
      </c>
      <c r="Q47" s="67">
        <v>0</v>
      </c>
      <c r="R47" s="67">
        <v>0</v>
      </c>
      <c r="S47" s="67">
        <v>0</v>
      </c>
      <c r="T47" s="67">
        <v>0</v>
      </c>
      <c r="U47" s="67">
        <v>1</v>
      </c>
      <c r="V47" s="68" t="s">
        <v>36</v>
      </c>
      <c r="W47" s="68" t="s">
        <v>36</v>
      </c>
      <c r="X47" s="68" t="s">
        <v>36</v>
      </c>
      <c r="Y47" s="68" t="s">
        <v>36</v>
      </c>
      <c r="Z47" s="68" t="s">
        <v>36</v>
      </c>
      <c r="AA47" s="68" t="s">
        <v>36</v>
      </c>
      <c r="AB47" s="65">
        <f t="shared" si="0"/>
        <v>29</v>
      </c>
      <c r="AC47" s="65">
        <f t="shared" si="2"/>
        <v>52</v>
      </c>
    </row>
    <row r="48" spans="1:29">
      <c r="A48" s="215"/>
      <c r="B48" s="71" t="s">
        <v>24</v>
      </c>
      <c r="C48" s="7" t="s">
        <v>38</v>
      </c>
      <c r="D48" s="64" t="str">
        <f t="shared" si="1"/>
        <v>Motivo de denegación  - CB</v>
      </c>
      <c r="E48" s="67">
        <v>1</v>
      </c>
      <c r="F48" s="68">
        <v>1</v>
      </c>
      <c r="G48" s="68">
        <v>0</v>
      </c>
      <c r="H48" s="68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v>0</v>
      </c>
      <c r="T48" s="67">
        <v>1</v>
      </c>
      <c r="U48" s="67">
        <v>0</v>
      </c>
      <c r="V48" s="68" t="s">
        <v>36</v>
      </c>
      <c r="W48" s="68" t="s">
        <v>36</v>
      </c>
      <c r="X48" s="68" t="s">
        <v>36</v>
      </c>
      <c r="Y48" s="68" t="s">
        <v>36</v>
      </c>
      <c r="Z48" s="68" t="s">
        <v>36</v>
      </c>
      <c r="AA48" s="68" t="s">
        <v>36</v>
      </c>
      <c r="AB48" s="65">
        <f t="shared" si="0"/>
        <v>29</v>
      </c>
      <c r="AC48" s="65">
        <f t="shared" si="2"/>
        <v>36</v>
      </c>
    </row>
    <row r="49" spans="1:29">
      <c r="A49" s="215"/>
      <c r="B49" s="71" t="s">
        <v>24</v>
      </c>
      <c r="C49" s="7" t="s">
        <v>39</v>
      </c>
      <c r="D49" s="64" t="str">
        <f t="shared" si="1"/>
        <v>Motivo de denegación  - Branch</v>
      </c>
      <c r="E49" s="67">
        <v>1</v>
      </c>
      <c r="F49" s="68">
        <v>1</v>
      </c>
      <c r="G49" s="68">
        <v>0</v>
      </c>
      <c r="H49" s="68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v>0</v>
      </c>
      <c r="T49" s="67">
        <v>1</v>
      </c>
      <c r="U49" s="67">
        <v>0</v>
      </c>
      <c r="V49" s="68" t="s">
        <v>36</v>
      </c>
      <c r="W49" s="68" t="s">
        <v>36</v>
      </c>
      <c r="X49" s="68" t="s">
        <v>36</v>
      </c>
      <c r="Y49" s="68" t="s">
        <v>36</v>
      </c>
      <c r="Z49" s="68" t="s">
        <v>36</v>
      </c>
      <c r="AA49" s="68" t="s">
        <v>36</v>
      </c>
      <c r="AB49" s="65">
        <f t="shared" si="0"/>
        <v>29</v>
      </c>
      <c r="AC49" s="65">
        <f t="shared" si="2"/>
        <v>36</v>
      </c>
    </row>
    <row r="50" spans="1:29">
      <c r="A50" s="215"/>
      <c r="B50" s="71" t="s">
        <v>25</v>
      </c>
      <c r="C50" s="7" t="s">
        <v>35</v>
      </c>
      <c r="D50" s="64" t="str">
        <f t="shared" si="1"/>
        <v>Revisión manual - BNPL</v>
      </c>
      <c r="E50" s="67">
        <v>1</v>
      </c>
      <c r="F50" s="68">
        <v>1</v>
      </c>
      <c r="G50" s="68">
        <v>0</v>
      </c>
      <c r="H50" s="68">
        <v>0</v>
      </c>
      <c r="I50" s="67">
        <v>0</v>
      </c>
      <c r="J50" s="67">
        <v>0</v>
      </c>
      <c r="K50" s="67">
        <v>0</v>
      </c>
      <c r="L50" s="67">
        <v>0</v>
      </c>
      <c r="M50" s="67">
        <v>0</v>
      </c>
      <c r="N50" s="67">
        <v>0</v>
      </c>
      <c r="O50" s="67">
        <v>0</v>
      </c>
      <c r="P50" s="67">
        <v>0</v>
      </c>
      <c r="Q50" s="67">
        <v>0</v>
      </c>
      <c r="R50" s="67">
        <v>1</v>
      </c>
      <c r="S50" s="67">
        <v>0</v>
      </c>
      <c r="T50" s="67">
        <v>0</v>
      </c>
      <c r="U50" s="67">
        <v>0</v>
      </c>
      <c r="V50" s="68" t="s">
        <v>36</v>
      </c>
      <c r="W50" s="68" t="s">
        <v>36</v>
      </c>
      <c r="X50" s="68" t="s">
        <v>36</v>
      </c>
      <c r="Y50" s="68" t="s">
        <v>36</v>
      </c>
      <c r="Z50" s="68" t="s">
        <v>36</v>
      </c>
      <c r="AA50" s="68" t="s">
        <v>36</v>
      </c>
      <c r="AB50" s="65">
        <f t="shared" si="0"/>
        <v>29</v>
      </c>
      <c r="AC50" s="65">
        <f t="shared" si="2"/>
        <v>69</v>
      </c>
    </row>
    <row r="51" spans="1:29">
      <c r="A51" s="215"/>
      <c r="B51" s="71" t="s">
        <v>25</v>
      </c>
      <c r="C51" s="7" t="s">
        <v>37</v>
      </c>
      <c r="D51" s="64" t="str">
        <f t="shared" si="1"/>
        <v>Revisión manual - Amz GIL</v>
      </c>
      <c r="E51" s="67">
        <v>1</v>
      </c>
      <c r="F51" s="68">
        <v>1</v>
      </c>
      <c r="G51" s="68">
        <v>0</v>
      </c>
      <c r="H51" s="68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1</v>
      </c>
      <c r="S51" s="67">
        <v>0</v>
      </c>
      <c r="T51" s="67">
        <v>0</v>
      </c>
      <c r="U51" s="67">
        <v>0</v>
      </c>
      <c r="V51" s="68" t="s">
        <v>36</v>
      </c>
      <c r="W51" s="68" t="s">
        <v>36</v>
      </c>
      <c r="X51" s="68" t="s">
        <v>36</v>
      </c>
      <c r="Y51" s="68" t="s">
        <v>36</v>
      </c>
      <c r="Z51" s="68" t="s">
        <v>36</v>
      </c>
      <c r="AA51" s="68" t="s">
        <v>36</v>
      </c>
      <c r="AB51" s="65">
        <f t="shared" si="0"/>
        <v>29</v>
      </c>
      <c r="AC51" s="65">
        <f t="shared" si="2"/>
        <v>69</v>
      </c>
    </row>
    <row r="52" spans="1:29">
      <c r="A52" s="215"/>
      <c r="B52" s="71" t="s">
        <v>25</v>
      </c>
      <c r="C52" s="7" t="s">
        <v>38</v>
      </c>
      <c r="D52" s="64" t="str">
        <f t="shared" si="1"/>
        <v>Revisión manual - CB</v>
      </c>
      <c r="E52" s="67">
        <v>1</v>
      </c>
      <c r="F52" s="68">
        <v>1</v>
      </c>
      <c r="G52" s="68">
        <v>0</v>
      </c>
      <c r="H52" s="68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1</v>
      </c>
      <c r="S52" s="67">
        <v>0</v>
      </c>
      <c r="T52" s="67">
        <v>0</v>
      </c>
      <c r="U52" s="67">
        <v>0</v>
      </c>
      <c r="V52" s="68" t="s">
        <v>36</v>
      </c>
      <c r="W52" s="68" t="s">
        <v>36</v>
      </c>
      <c r="X52" s="68" t="s">
        <v>36</v>
      </c>
      <c r="Y52" s="68" t="s">
        <v>36</v>
      </c>
      <c r="Z52" s="68" t="s">
        <v>36</v>
      </c>
      <c r="AA52" s="68" t="s">
        <v>36</v>
      </c>
      <c r="AB52" s="65">
        <f t="shared" si="0"/>
        <v>29</v>
      </c>
      <c r="AC52" s="65">
        <f t="shared" si="2"/>
        <v>69</v>
      </c>
    </row>
    <row r="53" spans="1:29">
      <c r="A53" s="215"/>
      <c r="B53" s="71" t="s">
        <v>25</v>
      </c>
      <c r="C53" s="7" t="s">
        <v>39</v>
      </c>
      <c r="D53" s="64" t="str">
        <f t="shared" si="1"/>
        <v>Revisión manual - Branch</v>
      </c>
      <c r="E53" s="67">
        <v>1</v>
      </c>
      <c r="F53" s="68">
        <v>1</v>
      </c>
      <c r="G53" s="68">
        <v>0</v>
      </c>
      <c r="H53" s="68">
        <v>0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v>0</v>
      </c>
      <c r="Q53" s="67">
        <v>0</v>
      </c>
      <c r="R53" s="67">
        <v>1</v>
      </c>
      <c r="S53" s="67">
        <v>0</v>
      </c>
      <c r="T53" s="67">
        <v>0</v>
      </c>
      <c r="U53" s="67">
        <v>0</v>
      </c>
      <c r="V53" s="68" t="s">
        <v>36</v>
      </c>
      <c r="W53" s="68" t="s">
        <v>36</v>
      </c>
      <c r="X53" s="68" t="s">
        <v>36</v>
      </c>
      <c r="Y53" s="68" t="s">
        <v>36</v>
      </c>
      <c r="Z53" s="68" t="s">
        <v>36</v>
      </c>
      <c r="AA53" s="68" t="s">
        <v>36</v>
      </c>
      <c r="AB53" s="65">
        <f t="shared" si="0"/>
        <v>29</v>
      </c>
      <c r="AC53" s="65">
        <f t="shared" si="2"/>
        <v>69</v>
      </c>
    </row>
    <row r="54" spans="1:29">
      <c r="A54" s="215"/>
      <c r="B54" s="79" t="s">
        <v>81</v>
      </c>
      <c r="C54" s="7" t="s">
        <v>82</v>
      </c>
      <c r="D54" s="64" t="str">
        <f t="shared" si="1"/>
        <v>Escalados por Cumplimiento - CROSS</v>
      </c>
      <c r="E54" s="197" t="s">
        <v>36</v>
      </c>
      <c r="F54" s="197" t="s">
        <v>36</v>
      </c>
      <c r="G54" s="197" t="s">
        <v>36</v>
      </c>
      <c r="H54" s="197" t="s">
        <v>36</v>
      </c>
      <c r="I54" s="197" t="s">
        <v>36</v>
      </c>
      <c r="J54" s="197" t="s">
        <v>36</v>
      </c>
      <c r="K54" s="197" t="s">
        <v>36</v>
      </c>
      <c r="L54" s="197" t="s">
        <v>36</v>
      </c>
      <c r="M54" s="197" t="s">
        <v>36</v>
      </c>
      <c r="N54" s="197" t="s">
        <v>36</v>
      </c>
      <c r="O54" s="197" t="s">
        <v>36</v>
      </c>
      <c r="P54" s="197" t="s">
        <v>36</v>
      </c>
      <c r="Q54" s="197" t="s">
        <v>36</v>
      </c>
      <c r="R54" s="197" t="s">
        <v>36</v>
      </c>
      <c r="S54" s="197" t="s">
        <v>36</v>
      </c>
      <c r="T54" s="197" t="s">
        <v>36</v>
      </c>
      <c r="U54" s="197" t="s">
        <v>36</v>
      </c>
      <c r="V54" s="197">
        <v>1</v>
      </c>
      <c r="W54" s="197">
        <v>0</v>
      </c>
      <c r="X54" s="197">
        <v>0</v>
      </c>
      <c r="Y54" s="197">
        <v>0</v>
      </c>
      <c r="Z54" s="197">
        <v>0</v>
      </c>
      <c r="AA54" s="197">
        <v>0</v>
      </c>
      <c r="AB54" s="65">
        <f t="shared" si="0"/>
        <v>5</v>
      </c>
      <c r="AC54" s="65">
        <f t="shared" si="2"/>
        <v>225</v>
      </c>
    </row>
    <row r="55" spans="1:29">
      <c r="A55" s="215"/>
      <c r="B55" s="79" t="str">
        <f>+C153</f>
        <v>Suplantación Identidad (combinado con GDPR)</v>
      </c>
      <c r="C55" s="7" t="s">
        <v>82</v>
      </c>
      <c r="D55" s="64" t="str">
        <f t="shared" si="1"/>
        <v>Suplantación Identidad (combinado con GDPR) - CROSS</v>
      </c>
      <c r="E55" s="197" t="s">
        <v>36</v>
      </c>
      <c r="F55" s="197" t="s">
        <v>36</v>
      </c>
      <c r="G55" s="197" t="s">
        <v>36</v>
      </c>
      <c r="H55" s="197" t="s">
        <v>36</v>
      </c>
      <c r="I55" s="197" t="s">
        <v>36</v>
      </c>
      <c r="J55" s="197" t="s">
        <v>36</v>
      </c>
      <c r="K55" s="197" t="s">
        <v>36</v>
      </c>
      <c r="L55" s="197" t="s">
        <v>36</v>
      </c>
      <c r="M55" s="197" t="s">
        <v>36</v>
      </c>
      <c r="N55" s="197" t="s">
        <v>36</v>
      </c>
      <c r="O55" s="197" t="s">
        <v>36</v>
      </c>
      <c r="P55" s="197" t="s">
        <v>36</v>
      </c>
      <c r="Q55" s="197" t="s">
        <v>36</v>
      </c>
      <c r="R55" s="197" t="s">
        <v>36</v>
      </c>
      <c r="S55" s="197" t="s">
        <v>36</v>
      </c>
      <c r="T55" s="197" t="s">
        <v>36</v>
      </c>
      <c r="U55" s="197" t="s">
        <v>36</v>
      </c>
      <c r="V55" s="197">
        <v>0</v>
      </c>
      <c r="W55" s="197">
        <v>1</v>
      </c>
      <c r="X55" s="197">
        <v>0</v>
      </c>
      <c r="Y55" s="197">
        <v>0</v>
      </c>
      <c r="Z55" s="197">
        <v>0</v>
      </c>
      <c r="AA55" s="197">
        <v>0</v>
      </c>
      <c r="AB55" s="65">
        <f t="shared" si="0"/>
        <v>6</v>
      </c>
      <c r="AC55" s="65">
        <f t="shared" si="2"/>
        <v>38</v>
      </c>
    </row>
    <row r="56" spans="1:29">
      <c r="A56" s="215"/>
      <c r="B56" s="80" t="s">
        <v>83</v>
      </c>
      <c r="C56" s="7" t="s">
        <v>82</v>
      </c>
      <c r="D56" s="64" t="str">
        <f t="shared" si="1"/>
        <v>Creación de KPIs (necesario por Cumplimiento) - CROSS</v>
      </c>
      <c r="E56" s="197" t="s">
        <v>36</v>
      </c>
      <c r="F56" s="197" t="s">
        <v>36</v>
      </c>
      <c r="G56" s="197" t="s">
        <v>36</v>
      </c>
      <c r="H56" s="197" t="s">
        <v>36</v>
      </c>
      <c r="I56" s="197" t="s">
        <v>36</v>
      </c>
      <c r="J56" s="197" t="s">
        <v>36</v>
      </c>
      <c r="K56" s="197" t="s">
        <v>36</v>
      </c>
      <c r="L56" s="197" t="s">
        <v>36</v>
      </c>
      <c r="M56" s="197" t="s">
        <v>36</v>
      </c>
      <c r="N56" s="197" t="s">
        <v>36</v>
      </c>
      <c r="O56" s="197" t="s">
        <v>36</v>
      </c>
      <c r="P56" s="197" t="s">
        <v>36</v>
      </c>
      <c r="Q56" s="197" t="s">
        <v>36</v>
      </c>
      <c r="R56" s="197" t="s">
        <v>36</v>
      </c>
      <c r="S56" s="197" t="s">
        <v>36</v>
      </c>
      <c r="T56" s="197" t="s">
        <v>36</v>
      </c>
      <c r="U56" s="197" t="s">
        <v>36</v>
      </c>
      <c r="V56" s="197">
        <v>0</v>
      </c>
      <c r="W56" s="197">
        <v>0</v>
      </c>
      <c r="X56" s="197">
        <v>1</v>
      </c>
      <c r="Y56" s="197">
        <v>0</v>
      </c>
      <c r="Z56" s="197">
        <v>0</v>
      </c>
      <c r="AA56" s="197">
        <v>0</v>
      </c>
      <c r="AB56" s="65">
        <f t="shared" si="0"/>
        <v>40</v>
      </c>
      <c r="AC56" s="65">
        <f t="shared" si="2"/>
        <v>480</v>
      </c>
    </row>
    <row r="57" spans="1:29">
      <c r="A57" s="215"/>
      <c r="B57" s="80" t="str">
        <f>+C163</f>
        <v xml:space="preserve">Gestión casos de suplantación de identidad </v>
      </c>
      <c r="C57" s="7" t="s">
        <v>82</v>
      </c>
      <c r="D57" s="64" t="str">
        <f t="shared" si="1"/>
        <v>Gestión casos de suplantación de identidad  - CROSS</v>
      </c>
      <c r="E57" s="197" t="s">
        <v>36</v>
      </c>
      <c r="F57" s="197" t="s">
        <v>36</v>
      </c>
      <c r="G57" s="197" t="s">
        <v>36</v>
      </c>
      <c r="H57" s="197" t="s">
        <v>36</v>
      </c>
      <c r="I57" s="197" t="s">
        <v>36</v>
      </c>
      <c r="J57" s="197" t="s">
        <v>36</v>
      </c>
      <c r="K57" s="197" t="s">
        <v>36</v>
      </c>
      <c r="L57" s="197" t="s">
        <v>36</v>
      </c>
      <c r="M57" s="197" t="s">
        <v>36</v>
      </c>
      <c r="N57" s="197" t="s">
        <v>36</v>
      </c>
      <c r="O57" s="197" t="s">
        <v>36</v>
      </c>
      <c r="P57" s="197" t="s">
        <v>36</v>
      </c>
      <c r="Q57" s="197" t="s">
        <v>36</v>
      </c>
      <c r="R57" s="197" t="s">
        <v>36</v>
      </c>
      <c r="S57" s="197" t="s">
        <v>36</v>
      </c>
      <c r="T57" s="197" t="s">
        <v>36</v>
      </c>
      <c r="U57" s="197" t="s">
        <v>36</v>
      </c>
      <c r="V57" s="197">
        <v>0</v>
      </c>
      <c r="W57" s="197">
        <v>0</v>
      </c>
      <c r="X57" s="197">
        <v>0</v>
      </c>
      <c r="Y57" s="197">
        <v>1</v>
      </c>
      <c r="Z57" s="197">
        <v>0</v>
      </c>
      <c r="AA57" s="197">
        <v>0</v>
      </c>
      <c r="AB57" s="65">
        <f t="shared" si="0"/>
        <v>12</v>
      </c>
      <c r="AC57" s="65">
        <f t="shared" si="2"/>
        <v>40</v>
      </c>
    </row>
    <row r="58" spans="1:29">
      <c r="A58" s="215"/>
      <c r="B58" s="80" t="str">
        <f>+C168</f>
        <v>Control de Calidad</v>
      </c>
      <c r="C58" s="7" t="s">
        <v>82</v>
      </c>
      <c r="D58" s="64" t="str">
        <f t="shared" si="1"/>
        <v>Control de Calidad - CROSS</v>
      </c>
      <c r="E58" s="197" t="s">
        <v>36</v>
      </c>
      <c r="F58" s="197" t="s">
        <v>36</v>
      </c>
      <c r="G58" s="197" t="s">
        <v>36</v>
      </c>
      <c r="H58" s="197" t="s">
        <v>36</v>
      </c>
      <c r="I58" s="197" t="s">
        <v>36</v>
      </c>
      <c r="J58" s="197" t="s">
        <v>36</v>
      </c>
      <c r="K58" s="197" t="s">
        <v>36</v>
      </c>
      <c r="L58" s="197" t="s">
        <v>36</v>
      </c>
      <c r="M58" s="197" t="s">
        <v>36</v>
      </c>
      <c r="N58" s="197" t="s">
        <v>36</v>
      </c>
      <c r="O58" s="197" t="s">
        <v>36</v>
      </c>
      <c r="P58" s="197" t="s">
        <v>36</v>
      </c>
      <c r="Q58" s="197" t="s">
        <v>36</v>
      </c>
      <c r="R58" s="197" t="s">
        <v>36</v>
      </c>
      <c r="S58" s="197" t="s">
        <v>36</v>
      </c>
      <c r="T58" s="197" t="s">
        <v>36</v>
      </c>
      <c r="U58" s="197" t="s">
        <v>36</v>
      </c>
      <c r="V58" s="197">
        <v>0</v>
      </c>
      <c r="W58" s="197">
        <v>0</v>
      </c>
      <c r="X58" s="197">
        <v>0</v>
      </c>
      <c r="Y58" s="197">
        <v>0</v>
      </c>
      <c r="Z58" s="197">
        <v>1</v>
      </c>
      <c r="AA58" s="197">
        <v>0</v>
      </c>
      <c r="AB58" s="65">
        <f t="shared" si="0"/>
        <v>7</v>
      </c>
      <c r="AC58" s="65">
        <f t="shared" si="2"/>
        <v>30</v>
      </c>
    </row>
    <row r="59" spans="1:29">
      <c r="A59" s="215"/>
      <c r="B59" s="80" t="s">
        <v>86</v>
      </c>
      <c r="C59" s="7" t="s">
        <v>82</v>
      </c>
      <c r="D59" s="64" t="str">
        <f t="shared" si="1"/>
        <v>Buzón Schufa - CROSS</v>
      </c>
      <c r="E59" s="197" t="s">
        <v>36</v>
      </c>
      <c r="F59" s="197" t="s">
        <v>36</v>
      </c>
      <c r="G59" s="197" t="s">
        <v>36</v>
      </c>
      <c r="H59" s="197" t="s">
        <v>36</v>
      </c>
      <c r="I59" s="197" t="s">
        <v>36</v>
      </c>
      <c r="J59" s="197" t="s">
        <v>36</v>
      </c>
      <c r="K59" s="197" t="s">
        <v>36</v>
      </c>
      <c r="L59" s="197" t="s">
        <v>36</v>
      </c>
      <c r="M59" s="197" t="s">
        <v>36</v>
      </c>
      <c r="N59" s="197" t="s">
        <v>36</v>
      </c>
      <c r="O59" s="197" t="s">
        <v>36</v>
      </c>
      <c r="P59" s="197" t="s">
        <v>36</v>
      </c>
      <c r="Q59" s="197" t="s">
        <v>36</v>
      </c>
      <c r="R59" s="197" t="s">
        <v>36</v>
      </c>
      <c r="S59" s="197" t="s">
        <v>36</v>
      </c>
      <c r="T59" s="197" t="s">
        <v>36</v>
      </c>
      <c r="U59" s="197" t="s">
        <v>36</v>
      </c>
      <c r="V59" s="197">
        <v>0</v>
      </c>
      <c r="W59" s="197">
        <v>0</v>
      </c>
      <c r="X59" s="197">
        <v>0</v>
      </c>
      <c r="Y59" s="197">
        <v>0</v>
      </c>
      <c r="Z59" s="197">
        <v>0</v>
      </c>
      <c r="AA59" s="197">
        <v>1</v>
      </c>
      <c r="AB59" s="65">
        <f t="shared" si="0"/>
        <v>0</v>
      </c>
      <c r="AC59" s="65">
        <f t="shared" si="2"/>
        <v>35</v>
      </c>
    </row>
    <row r="62" spans="1:29">
      <c r="C62" s="6" t="s">
        <v>159</v>
      </c>
    </row>
    <row r="63" spans="1:29">
      <c r="C63" s="63" t="s">
        <v>88</v>
      </c>
      <c r="D63" s="63" t="s">
        <v>15</v>
      </c>
      <c r="E63" s="6"/>
    </row>
    <row r="64" spans="1:29">
      <c r="B64" s="331">
        <v>1</v>
      </c>
      <c r="C64" s="148" t="s">
        <v>89</v>
      </c>
      <c r="D64" s="181">
        <f>SUM(D65:D66)</f>
        <v>8</v>
      </c>
    </row>
    <row r="65" spans="2:4">
      <c r="B65" s="324"/>
      <c r="C65" s="149" t="s">
        <v>90</v>
      </c>
      <c r="D65" s="182">
        <v>5</v>
      </c>
    </row>
    <row r="66" spans="2:4">
      <c r="B66" s="324"/>
      <c r="C66" s="149" t="s">
        <v>91</v>
      </c>
      <c r="D66" s="182">
        <v>3</v>
      </c>
    </row>
    <row r="67" spans="2:4">
      <c r="B67" s="331">
        <v>2</v>
      </c>
      <c r="C67" s="148" t="s">
        <v>92</v>
      </c>
      <c r="D67" s="181">
        <f>SUM(D68:D71)</f>
        <v>21</v>
      </c>
    </row>
    <row r="68" spans="2:4" ht="50.25">
      <c r="B68" s="324"/>
      <c r="C68" s="150" t="s">
        <v>160</v>
      </c>
      <c r="D68" s="182">
        <v>5</v>
      </c>
    </row>
    <row r="69" spans="2:4">
      <c r="B69" s="324"/>
      <c r="C69" s="149" t="s">
        <v>94</v>
      </c>
      <c r="D69" s="182">
        <v>3</v>
      </c>
    </row>
    <row r="70" spans="2:4" ht="33.75">
      <c r="B70" s="324"/>
      <c r="C70" s="150" t="s">
        <v>95</v>
      </c>
      <c r="D70" s="182">
        <v>3</v>
      </c>
    </row>
    <row r="71" spans="2:4" ht="33.75">
      <c r="B71" s="332"/>
      <c r="C71" s="151" t="s">
        <v>96</v>
      </c>
      <c r="D71" s="182">
        <v>10</v>
      </c>
    </row>
    <row r="72" spans="2:4">
      <c r="B72" s="324">
        <v>3</v>
      </c>
      <c r="C72" s="152" t="s">
        <v>97</v>
      </c>
      <c r="D72" s="181">
        <f>SUM(D73:D77)</f>
        <v>60</v>
      </c>
    </row>
    <row r="73" spans="2:4">
      <c r="B73" s="324"/>
      <c r="C73" s="149" t="s">
        <v>98</v>
      </c>
      <c r="D73" s="182">
        <v>5</v>
      </c>
    </row>
    <row r="74" spans="2:4">
      <c r="B74" s="324"/>
      <c r="C74" s="149" t="s">
        <v>99</v>
      </c>
      <c r="D74" s="182">
        <v>0</v>
      </c>
    </row>
    <row r="75" spans="2:4">
      <c r="B75" s="324"/>
      <c r="C75" s="149" t="s">
        <v>100</v>
      </c>
      <c r="D75" s="182">
        <v>10</v>
      </c>
    </row>
    <row r="76" spans="2:4">
      <c r="B76" s="324"/>
      <c r="C76" s="149" t="s">
        <v>101</v>
      </c>
      <c r="D76" s="182">
        <v>40</v>
      </c>
    </row>
    <row r="77" spans="2:4">
      <c r="B77" s="324"/>
      <c r="C77" s="149" t="s">
        <v>102</v>
      </c>
      <c r="D77" s="182">
        <v>5</v>
      </c>
    </row>
    <row r="78" spans="2:4" ht="16.5">
      <c r="B78" s="332"/>
      <c r="C78" s="153" t="s">
        <v>161</v>
      </c>
      <c r="D78" s="183" t="s">
        <v>161</v>
      </c>
    </row>
    <row r="79" spans="2:4" ht="18.75" customHeight="1">
      <c r="B79" s="324">
        <v>4</v>
      </c>
      <c r="C79" s="152" t="s">
        <v>162</v>
      </c>
      <c r="D79" s="184">
        <f>SUM(D80:D84)</f>
        <v>56</v>
      </c>
    </row>
    <row r="80" spans="2:4" ht="18.75" customHeight="1">
      <c r="B80" s="324"/>
      <c r="C80" s="149" t="s">
        <v>98</v>
      </c>
      <c r="D80" s="182">
        <v>8</v>
      </c>
    </row>
    <row r="81" spans="2:4" ht="18.75" customHeight="1">
      <c r="B81" s="324"/>
      <c r="C81" s="149" t="s">
        <v>99</v>
      </c>
      <c r="D81" s="182">
        <v>8</v>
      </c>
    </row>
    <row r="82" spans="2:4" ht="18.75" customHeight="1">
      <c r="B82" s="324"/>
      <c r="C82" s="149" t="s">
        <v>100</v>
      </c>
      <c r="D82" s="182">
        <v>30</v>
      </c>
    </row>
    <row r="83" spans="2:4">
      <c r="B83" s="324"/>
      <c r="C83" s="149" t="s">
        <v>102</v>
      </c>
      <c r="D83" s="182">
        <v>5</v>
      </c>
    </row>
    <row r="84" spans="2:4" ht="18.75" customHeight="1">
      <c r="B84" s="332"/>
      <c r="C84" s="154" t="s">
        <v>163</v>
      </c>
      <c r="D84" s="183">
        <v>5</v>
      </c>
    </row>
    <row r="85" spans="2:4" ht="16.5">
      <c r="B85" s="324">
        <v>5</v>
      </c>
      <c r="C85" s="155" t="s">
        <v>164</v>
      </c>
      <c r="D85" s="184">
        <f>SUM(D86:D89)</f>
        <v>63</v>
      </c>
    </row>
    <row r="86" spans="2:4">
      <c r="B86" s="324"/>
      <c r="C86" s="149" t="s">
        <v>165</v>
      </c>
      <c r="D86" s="182">
        <v>20</v>
      </c>
    </row>
    <row r="87" spans="2:4" ht="33.75">
      <c r="B87" s="324"/>
      <c r="C87" s="150" t="s">
        <v>166</v>
      </c>
      <c r="D87" s="182">
        <v>8</v>
      </c>
    </row>
    <row r="88" spans="2:4" ht="16.5">
      <c r="B88" s="324"/>
      <c r="C88" s="150" t="s">
        <v>167</v>
      </c>
      <c r="D88" s="182">
        <v>5</v>
      </c>
    </row>
    <row r="89" spans="2:4">
      <c r="B89" s="324"/>
      <c r="C89" s="149" t="s">
        <v>101</v>
      </c>
      <c r="D89" s="182">
        <v>30</v>
      </c>
    </row>
    <row r="90" spans="2:4">
      <c r="B90" s="328">
        <v>6</v>
      </c>
      <c r="C90" s="148" t="s">
        <v>168</v>
      </c>
      <c r="D90" s="181">
        <f>SUM(D91:D95)</f>
        <v>29</v>
      </c>
    </row>
    <row r="91" spans="2:4">
      <c r="B91" s="329"/>
      <c r="C91" s="149" t="s">
        <v>105</v>
      </c>
      <c r="D91" s="182">
        <v>9</v>
      </c>
    </row>
    <row r="92" spans="2:4">
      <c r="B92" s="329"/>
      <c r="C92" s="149" t="s">
        <v>169</v>
      </c>
      <c r="D92" s="182">
        <v>5</v>
      </c>
    </row>
    <row r="93" spans="2:4">
      <c r="B93" s="329"/>
      <c r="C93" s="149" t="s">
        <v>106</v>
      </c>
      <c r="D93" s="182">
        <v>5</v>
      </c>
    </row>
    <row r="94" spans="2:4">
      <c r="B94" s="329"/>
      <c r="C94" s="156" t="s">
        <v>107</v>
      </c>
      <c r="D94" s="182">
        <v>5</v>
      </c>
    </row>
    <row r="95" spans="2:4">
      <c r="B95" s="330"/>
      <c r="C95" s="156" t="s">
        <v>163</v>
      </c>
      <c r="D95" s="182">
        <v>5</v>
      </c>
    </row>
    <row r="96" spans="2:4" ht="33">
      <c r="B96" s="324">
        <v>7</v>
      </c>
      <c r="C96" s="157" t="s">
        <v>170</v>
      </c>
      <c r="D96" s="181">
        <f>SUM(D97:D100)</f>
        <v>17</v>
      </c>
    </row>
    <row r="97" spans="2:4">
      <c r="B97" s="324"/>
      <c r="C97" s="158"/>
      <c r="D97" s="182"/>
    </row>
    <row r="98" spans="2:4" ht="33.75">
      <c r="B98" s="324"/>
      <c r="C98" s="206" t="s">
        <v>171</v>
      </c>
      <c r="D98" s="182">
        <v>8</v>
      </c>
    </row>
    <row r="99" spans="2:4">
      <c r="B99" s="324"/>
      <c r="C99" s="156" t="s">
        <v>172</v>
      </c>
      <c r="D99" s="182">
        <v>5</v>
      </c>
    </row>
    <row r="100" spans="2:4">
      <c r="B100" s="332"/>
      <c r="C100" s="156" t="s">
        <v>173</v>
      </c>
      <c r="D100" s="183">
        <v>4</v>
      </c>
    </row>
    <row r="101" spans="2:4" ht="16.5">
      <c r="B101" s="167">
        <v>8</v>
      </c>
      <c r="C101" s="159" t="s">
        <v>174</v>
      </c>
      <c r="D101" s="184">
        <f>SUM(D102:D104)</f>
        <v>15</v>
      </c>
    </row>
    <row r="102" spans="2:4">
      <c r="B102" s="167" t="s">
        <v>161</v>
      </c>
      <c r="C102" s="156" t="s">
        <v>135</v>
      </c>
      <c r="D102" s="182">
        <v>5</v>
      </c>
    </row>
    <row r="103" spans="2:4" ht="16.5">
      <c r="B103" s="167" t="s">
        <v>161</v>
      </c>
      <c r="C103" s="158" t="s">
        <v>175</v>
      </c>
      <c r="D103" s="182">
        <v>5</v>
      </c>
    </row>
    <row r="104" spans="2:4">
      <c r="B104" s="167" t="s">
        <v>161</v>
      </c>
      <c r="C104" s="156" t="s">
        <v>176</v>
      </c>
      <c r="D104" s="183">
        <v>5</v>
      </c>
    </row>
    <row r="105" spans="2:4" ht="33">
      <c r="B105" s="331">
        <v>9</v>
      </c>
      <c r="C105" s="159" t="s">
        <v>177</v>
      </c>
      <c r="D105" s="184">
        <f>SUM(D106:D109)</f>
        <v>20</v>
      </c>
    </row>
    <row r="106" spans="2:4">
      <c r="B106" s="324"/>
      <c r="C106" s="149" t="s">
        <v>135</v>
      </c>
      <c r="D106" s="182">
        <v>5</v>
      </c>
    </row>
    <row r="107" spans="2:4" ht="16.5">
      <c r="B107" s="324"/>
      <c r="C107" s="150" t="s">
        <v>178</v>
      </c>
      <c r="D107" s="182">
        <v>5</v>
      </c>
    </row>
    <row r="108" spans="2:4">
      <c r="B108" s="324"/>
      <c r="C108" s="149" t="s">
        <v>179</v>
      </c>
      <c r="D108" s="182">
        <v>5</v>
      </c>
    </row>
    <row r="109" spans="2:4">
      <c r="B109" s="332"/>
      <c r="C109" s="149" t="s">
        <v>180</v>
      </c>
      <c r="D109" s="182">
        <v>5</v>
      </c>
    </row>
    <row r="110" spans="2:4">
      <c r="B110" s="324">
        <v>10</v>
      </c>
      <c r="C110" s="148" t="s">
        <v>110</v>
      </c>
      <c r="D110" s="181">
        <f>SUM(D111:D114)</f>
        <v>16</v>
      </c>
    </row>
    <row r="111" spans="2:4">
      <c r="B111" s="324"/>
      <c r="C111" s="149" t="s">
        <v>181</v>
      </c>
      <c r="D111" s="182">
        <v>5</v>
      </c>
    </row>
    <row r="112" spans="2:4" ht="50.25">
      <c r="B112" s="324"/>
      <c r="C112" s="150" t="s">
        <v>182</v>
      </c>
      <c r="D112" s="182">
        <v>10</v>
      </c>
    </row>
    <row r="113" spans="2:4" ht="16.5">
      <c r="B113" s="324"/>
      <c r="C113" s="158" t="s">
        <v>183</v>
      </c>
      <c r="D113" s="182">
        <v>1</v>
      </c>
    </row>
    <row r="114" spans="2:4">
      <c r="B114" s="332"/>
      <c r="C114" s="154" t="s">
        <v>161</v>
      </c>
      <c r="D114" s="183" t="s">
        <v>161</v>
      </c>
    </row>
    <row r="115" spans="2:4">
      <c r="B115" s="333">
        <v>11</v>
      </c>
      <c r="C115" s="152" t="s">
        <v>184</v>
      </c>
      <c r="D115" s="184">
        <f>SUM(D116:D118)</f>
        <v>15</v>
      </c>
    </row>
    <row r="116" spans="2:4">
      <c r="B116" s="329"/>
      <c r="C116" s="149" t="s">
        <v>185</v>
      </c>
      <c r="D116" s="182">
        <v>5</v>
      </c>
    </row>
    <row r="117" spans="2:4">
      <c r="B117" s="329"/>
      <c r="C117" s="149" t="s">
        <v>186</v>
      </c>
      <c r="D117" s="182">
        <v>5</v>
      </c>
    </row>
    <row r="118" spans="2:4" ht="16.5">
      <c r="B118" s="330"/>
      <c r="C118" s="150" t="s">
        <v>187</v>
      </c>
      <c r="D118" s="182">
        <v>5</v>
      </c>
    </row>
    <row r="119" spans="2:4" ht="16.5">
      <c r="B119" s="331">
        <v>12</v>
      </c>
      <c r="C119" s="157" t="s">
        <v>114</v>
      </c>
      <c r="D119" s="181">
        <f>SUM(D120:D123)</f>
        <v>20</v>
      </c>
    </row>
    <row r="120" spans="2:4">
      <c r="B120" s="324"/>
      <c r="C120" s="149" t="s">
        <v>109</v>
      </c>
      <c r="D120" s="182">
        <v>5</v>
      </c>
    </row>
    <row r="121" spans="2:4">
      <c r="B121" s="324"/>
      <c r="C121" s="149" t="s">
        <v>115</v>
      </c>
      <c r="D121" s="182">
        <v>5</v>
      </c>
    </row>
    <row r="122" spans="2:4" ht="16.5">
      <c r="B122" s="324"/>
      <c r="C122" s="150" t="s">
        <v>116</v>
      </c>
      <c r="D122" s="182">
        <v>5</v>
      </c>
    </row>
    <row r="123" spans="2:4">
      <c r="B123" s="332"/>
      <c r="C123" s="154" t="s">
        <v>188</v>
      </c>
      <c r="D123" s="183">
        <v>5</v>
      </c>
    </row>
    <row r="124" spans="2:4" ht="16.5">
      <c r="B124" s="324">
        <v>13</v>
      </c>
      <c r="C124" s="160" t="s">
        <v>117</v>
      </c>
      <c r="D124" s="184">
        <f>SUM(D125:D127)</f>
        <v>11</v>
      </c>
    </row>
    <row r="125" spans="2:4">
      <c r="B125" s="324"/>
      <c r="C125" s="149" t="s">
        <v>118</v>
      </c>
      <c r="D125" s="182">
        <v>5</v>
      </c>
    </row>
    <row r="126" spans="2:4">
      <c r="B126" s="324"/>
      <c r="C126" s="149" t="s">
        <v>119</v>
      </c>
      <c r="D126" s="182">
        <v>6</v>
      </c>
    </row>
    <row r="127" spans="2:4">
      <c r="B127" s="324"/>
      <c r="C127" s="161" t="s">
        <v>161</v>
      </c>
      <c r="D127" s="185" t="s">
        <v>161</v>
      </c>
    </row>
    <row r="128" spans="2:4">
      <c r="B128" s="332"/>
      <c r="C128" s="154" t="s">
        <v>161</v>
      </c>
      <c r="D128" s="183" t="s">
        <v>161</v>
      </c>
    </row>
    <row r="129" spans="2:4">
      <c r="B129" s="324">
        <v>14</v>
      </c>
      <c r="C129" s="152" t="s">
        <v>120</v>
      </c>
      <c r="D129" s="184">
        <f>SUM(D130:D133)</f>
        <v>40</v>
      </c>
    </row>
    <row r="130" spans="2:4" ht="33.75">
      <c r="B130" s="324"/>
      <c r="C130" s="158" t="s">
        <v>189</v>
      </c>
      <c r="D130" s="182">
        <v>15</v>
      </c>
    </row>
    <row r="131" spans="2:4" ht="33.75">
      <c r="B131" s="324"/>
      <c r="C131" s="150" t="s">
        <v>122</v>
      </c>
      <c r="D131" s="182">
        <v>10</v>
      </c>
    </row>
    <row r="132" spans="2:4" ht="33.75">
      <c r="B132" s="324"/>
      <c r="C132" s="150" t="s">
        <v>123</v>
      </c>
      <c r="D132" s="182">
        <v>10</v>
      </c>
    </row>
    <row r="133" spans="2:4">
      <c r="B133" s="324"/>
      <c r="C133" s="149" t="s">
        <v>124</v>
      </c>
      <c r="D133" s="186">
        <v>5</v>
      </c>
    </row>
    <row r="134" spans="2:4">
      <c r="B134" s="325">
        <v>15</v>
      </c>
      <c r="C134" s="162" t="s">
        <v>190</v>
      </c>
      <c r="D134" s="184">
        <f>SUM(D135:D137)</f>
        <v>12</v>
      </c>
    </row>
    <row r="135" spans="2:4">
      <c r="B135" s="326"/>
      <c r="C135" s="163" t="s">
        <v>191</v>
      </c>
      <c r="D135" s="182">
        <v>5</v>
      </c>
    </row>
    <row r="136" spans="2:4" ht="16.5">
      <c r="B136" s="326"/>
      <c r="C136" s="164" t="s">
        <v>127</v>
      </c>
      <c r="D136" s="182">
        <v>5</v>
      </c>
    </row>
    <row r="137" spans="2:4" ht="16.5">
      <c r="B137" s="327"/>
      <c r="C137" s="207" t="s">
        <v>192</v>
      </c>
      <c r="D137" s="182">
        <v>2</v>
      </c>
    </row>
    <row r="138" spans="2:4" ht="16.5">
      <c r="B138" s="324">
        <v>16</v>
      </c>
      <c r="C138" s="159" t="s">
        <v>193</v>
      </c>
      <c r="D138" s="181">
        <f>SUM(D139:D141)</f>
        <v>7</v>
      </c>
    </row>
    <row r="139" spans="2:4">
      <c r="B139" s="324"/>
      <c r="C139" s="156" t="s">
        <v>194</v>
      </c>
      <c r="D139" s="182">
        <v>5</v>
      </c>
    </row>
    <row r="140" spans="2:4" ht="16.5">
      <c r="B140" s="324"/>
      <c r="C140" s="158" t="s">
        <v>195</v>
      </c>
      <c r="D140" s="182">
        <v>2</v>
      </c>
    </row>
    <row r="141" spans="2:4" ht="16.5">
      <c r="B141" s="324"/>
      <c r="C141" s="158" t="s">
        <v>161</v>
      </c>
      <c r="D141" s="182" t="s">
        <v>161</v>
      </c>
    </row>
    <row r="142" spans="2:4" ht="16.5">
      <c r="B142" s="328">
        <v>17</v>
      </c>
      <c r="C142" s="210" t="s">
        <v>196</v>
      </c>
      <c r="D142" s="213">
        <f>SUM(D143:D146)</f>
        <v>23</v>
      </c>
    </row>
    <row r="143" spans="2:4" ht="16.5">
      <c r="B143" s="329"/>
      <c r="C143" s="211" t="s">
        <v>197</v>
      </c>
      <c r="D143" s="185">
        <v>5</v>
      </c>
    </row>
    <row r="144" spans="2:4" ht="16.5">
      <c r="B144" s="329"/>
      <c r="C144" s="211" t="s">
        <v>198</v>
      </c>
      <c r="D144" s="185">
        <v>8</v>
      </c>
    </row>
    <row r="145" spans="2:4" ht="33.75">
      <c r="B145" s="329"/>
      <c r="C145" s="211" t="s">
        <v>199</v>
      </c>
      <c r="D145" s="185">
        <v>5</v>
      </c>
    </row>
    <row r="146" spans="2:4" ht="16.5">
      <c r="B146" s="330"/>
      <c r="C146" s="212" t="s">
        <v>163</v>
      </c>
      <c r="D146" s="214">
        <v>5</v>
      </c>
    </row>
    <row r="147" spans="2:4">
      <c r="B147" s="334">
        <v>18</v>
      </c>
      <c r="C147" s="209" t="s">
        <v>128</v>
      </c>
      <c r="D147" s="187">
        <f>SUM(D148:D152)</f>
        <v>225</v>
      </c>
    </row>
    <row r="148" spans="2:4">
      <c r="B148" s="334"/>
      <c r="C148" s="168" t="s">
        <v>121</v>
      </c>
      <c r="D148" s="188">
        <v>5</v>
      </c>
    </row>
    <row r="149" spans="2:4" ht="16.5">
      <c r="B149" s="334"/>
      <c r="C149" s="169" t="s">
        <v>129</v>
      </c>
      <c r="D149" s="188">
        <v>10</v>
      </c>
    </row>
    <row r="150" spans="2:4" ht="16.5">
      <c r="B150" s="334"/>
      <c r="C150" s="169" t="s">
        <v>130</v>
      </c>
      <c r="D150" s="188">
        <v>60</v>
      </c>
    </row>
    <row r="151" spans="2:4" ht="50.25">
      <c r="B151" s="334"/>
      <c r="C151" s="170" t="s">
        <v>200</v>
      </c>
      <c r="D151" s="188">
        <v>90</v>
      </c>
    </row>
    <row r="152" spans="2:4" ht="33.75">
      <c r="B152" s="335"/>
      <c r="C152" s="171" t="s">
        <v>132</v>
      </c>
      <c r="D152" s="189">
        <v>60</v>
      </c>
    </row>
    <row r="153" spans="2:4" ht="16.5">
      <c r="B153" s="338">
        <v>19</v>
      </c>
      <c r="C153" s="172" t="s">
        <v>201</v>
      </c>
      <c r="D153" s="187">
        <f>SUM(D154:D159)</f>
        <v>38</v>
      </c>
    </row>
    <row r="154" spans="2:4" ht="16.5">
      <c r="B154" s="334"/>
      <c r="C154" s="173" t="s">
        <v>202</v>
      </c>
      <c r="D154" s="188">
        <v>10</v>
      </c>
    </row>
    <row r="155" spans="2:4" ht="16.5">
      <c r="B155" s="334"/>
      <c r="C155" s="174" t="s">
        <v>203</v>
      </c>
      <c r="D155" s="188">
        <v>5</v>
      </c>
    </row>
    <row r="156" spans="2:4" ht="16.5">
      <c r="B156" s="334"/>
      <c r="C156" s="173" t="s">
        <v>204</v>
      </c>
      <c r="D156" s="188">
        <v>5</v>
      </c>
    </row>
    <row r="157" spans="2:4" ht="33.75">
      <c r="B157" s="334"/>
      <c r="C157" s="173" t="s">
        <v>205</v>
      </c>
      <c r="D157" s="188">
        <v>5</v>
      </c>
    </row>
    <row r="158" spans="2:4" ht="16.5">
      <c r="B158" s="334"/>
      <c r="C158" s="173" t="s">
        <v>206</v>
      </c>
      <c r="D158" s="188">
        <v>5</v>
      </c>
    </row>
    <row r="159" spans="2:4" ht="33.75">
      <c r="B159" s="335"/>
      <c r="C159" s="173" t="s">
        <v>207</v>
      </c>
      <c r="D159" s="188">
        <v>8</v>
      </c>
    </row>
    <row r="160" spans="2:4">
      <c r="B160" s="336">
        <v>20</v>
      </c>
      <c r="C160" s="175" t="s">
        <v>83</v>
      </c>
      <c r="D160" s="190">
        <f>SUM(D161:D162)</f>
        <v>480</v>
      </c>
    </row>
    <row r="161" spans="2:4">
      <c r="B161" s="337"/>
      <c r="C161" s="176" t="s">
        <v>133</v>
      </c>
      <c r="D161" s="188">
        <v>420</v>
      </c>
    </row>
    <row r="162" spans="2:4" ht="16.5">
      <c r="B162" s="337"/>
      <c r="C162" s="173" t="s">
        <v>134</v>
      </c>
      <c r="D162" s="188">
        <v>60</v>
      </c>
    </row>
    <row r="163" spans="2:4" ht="16.5">
      <c r="B163" s="336">
        <v>21</v>
      </c>
      <c r="C163" s="177" t="s">
        <v>208</v>
      </c>
      <c r="D163" s="190">
        <f>SUM(D164:D167)</f>
        <v>40</v>
      </c>
    </row>
    <row r="164" spans="2:4">
      <c r="B164" s="337"/>
      <c r="C164" s="176" t="s">
        <v>135</v>
      </c>
      <c r="D164" s="188">
        <v>5</v>
      </c>
    </row>
    <row r="165" spans="2:4" ht="16.5">
      <c r="B165" s="337"/>
      <c r="C165" s="173" t="s">
        <v>136</v>
      </c>
      <c r="D165" s="188">
        <v>5</v>
      </c>
    </row>
    <row r="166" spans="2:4" ht="33.75">
      <c r="B166" s="337"/>
      <c r="C166" s="173" t="s">
        <v>209</v>
      </c>
      <c r="D166" s="188">
        <v>30</v>
      </c>
    </row>
    <row r="167" spans="2:4">
      <c r="B167" s="337"/>
      <c r="C167" s="176" t="s">
        <v>161</v>
      </c>
      <c r="D167" s="188" t="s">
        <v>161</v>
      </c>
    </row>
    <row r="168" spans="2:4">
      <c r="B168" s="338">
        <v>22</v>
      </c>
      <c r="C168" s="178" t="s">
        <v>85</v>
      </c>
      <c r="D168" s="190">
        <f>SUM(D169:D171)</f>
        <v>30</v>
      </c>
    </row>
    <row r="169" spans="2:4">
      <c r="B169" s="334"/>
      <c r="C169" s="168" t="s">
        <v>138</v>
      </c>
      <c r="D169" s="188">
        <v>5</v>
      </c>
    </row>
    <row r="170" spans="2:4" ht="16.5">
      <c r="B170" s="334"/>
      <c r="C170" s="169" t="s">
        <v>139</v>
      </c>
      <c r="D170" s="188">
        <v>20</v>
      </c>
    </row>
    <row r="171" spans="2:4" ht="16.5">
      <c r="B171" s="334"/>
      <c r="C171" s="169" t="s">
        <v>140</v>
      </c>
      <c r="D171" s="188">
        <v>5</v>
      </c>
    </row>
    <row r="172" spans="2:4">
      <c r="B172" s="339">
        <v>23</v>
      </c>
      <c r="C172" s="179" t="s">
        <v>86</v>
      </c>
      <c r="D172" s="191">
        <f>SUM(D173:D176)</f>
        <v>35</v>
      </c>
    </row>
    <row r="173" spans="2:4">
      <c r="B173" s="340"/>
      <c r="C173" s="168" t="s">
        <v>141</v>
      </c>
      <c r="D173" s="192">
        <v>5</v>
      </c>
    </row>
    <row r="174" spans="2:4" ht="16.5">
      <c r="B174" s="340"/>
      <c r="C174" s="169" t="s">
        <v>210</v>
      </c>
      <c r="D174" s="192">
        <v>5</v>
      </c>
    </row>
    <row r="175" spans="2:4" ht="33.75">
      <c r="B175" s="340"/>
      <c r="C175" s="169" t="s">
        <v>211</v>
      </c>
      <c r="D175" s="192">
        <v>20</v>
      </c>
    </row>
    <row r="176" spans="2:4">
      <c r="B176" s="341"/>
      <c r="C176" s="180" t="s">
        <v>143</v>
      </c>
      <c r="D176" s="193">
        <v>5</v>
      </c>
    </row>
  </sheetData>
  <mergeCells count="29">
    <mergeCell ref="B147:B152"/>
    <mergeCell ref="B160:B162"/>
    <mergeCell ref="B163:B167"/>
    <mergeCell ref="B168:B171"/>
    <mergeCell ref="B172:B176"/>
    <mergeCell ref="B153:B159"/>
    <mergeCell ref="C3:J3"/>
    <mergeCell ref="K3:O3"/>
    <mergeCell ref="K5:K8"/>
    <mergeCell ref="L5:L8"/>
    <mergeCell ref="M5:M8"/>
    <mergeCell ref="N5:N8"/>
    <mergeCell ref="O5:O8"/>
    <mergeCell ref="B129:B133"/>
    <mergeCell ref="B134:B137"/>
    <mergeCell ref="B138:B141"/>
    <mergeCell ref="B142:B146"/>
    <mergeCell ref="B64:B66"/>
    <mergeCell ref="B67:B71"/>
    <mergeCell ref="B72:B78"/>
    <mergeCell ref="B79:B84"/>
    <mergeCell ref="B96:B100"/>
    <mergeCell ref="B85:B89"/>
    <mergeCell ref="B105:B109"/>
    <mergeCell ref="B110:B114"/>
    <mergeCell ref="B119:B123"/>
    <mergeCell ref="B124:B128"/>
    <mergeCell ref="B90:B95"/>
    <mergeCell ref="B115:B118"/>
  </mergeCells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3a0314-1385-45ca-afc7-11f320319d7f">
      <Terms xmlns="http://schemas.microsoft.com/office/infopath/2007/PartnerControls"/>
    </lcf76f155ced4ddcb4097134ff3c332f>
    <TaxCatchAll xmlns="30e6dc30-9e95-4268-97ab-b1992fff59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D8A019CA703489589A62196CDA980" ma:contentTypeVersion="13" ma:contentTypeDescription="Create a new document." ma:contentTypeScope="" ma:versionID="cbe416bea170a2889402f392b536fdb4">
  <xsd:schema xmlns:xsd="http://www.w3.org/2001/XMLSchema" xmlns:xs="http://www.w3.org/2001/XMLSchema" xmlns:p="http://schemas.microsoft.com/office/2006/metadata/properties" xmlns:ns1="http://schemas.microsoft.com/sharepoint/v3" xmlns:ns2="203a0314-1385-45ca-afc7-11f320319d7f" xmlns:ns3="30e6dc30-9e95-4268-97ab-b1992fff5958" targetNamespace="http://schemas.microsoft.com/office/2006/metadata/properties" ma:root="true" ma:fieldsID="e3645946e3410731f722138ce2dc211a" ns1:_="" ns2:_="" ns3:_="">
    <xsd:import namespace="http://schemas.microsoft.com/sharepoint/v3"/>
    <xsd:import namespace="203a0314-1385-45ca-afc7-11f320319d7f"/>
    <xsd:import namespace="30e6dc30-9e95-4268-97ab-b1992fff5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a0314-1385-45ca-afc7-11f320319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6dc30-9e95-4268-97ab-b1992fff59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34e844-a2b6-4b5c-a14b-a8166645a42b}" ma:internalName="TaxCatchAll" ma:showField="CatchAllData" ma:web="30e6dc30-9e95-4268-97ab-b1992fff5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E5AA7B-72DB-4221-A3B5-6D3B9C6BA6E5}"/>
</file>

<file path=customXml/itemProps2.xml><?xml version="1.0" encoding="utf-8"?>
<ds:datastoreItem xmlns:ds="http://schemas.openxmlformats.org/officeDocument/2006/customXml" ds:itemID="{4653DCC7-80B7-48DD-AF8E-2AD8C12A8FE1}"/>
</file>

<file path=customXml/itemProps3.xml><?xml version="1.0" encoding="utf-8"?>
<ds:datastoreItem xmlns:ds="http://schemas.openxmlformats.org/officeDocument/2006/customXml" ds:itemID="{0470A966-2DC3-4547-8896-D1A140264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Latorre Rosa Maria</dc:creator>
  <cp:keywords/>
  <dc:description/>
  <cp:lastModifiedBy/>
  <cp:revision/>
  <dcterms:created xsi:type="dcterms:W3CDTF">2024-12-11T11:24:11Z</dcterms:created>
  <dcterms:modified xsi:type="dcterms:W3CDTF">2026-03-05T09:28:21Z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2024-12-11T17:32:03Z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bb63e11d-13a2-40a9-89c2-2d02bfa70b72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0x010100BFED8A019CA703489589A62196CDA980</vt:lpwstr>
  </property>
  <property fmtid="{D5CDD505-2E9C-101B-9397-08002B2CF9AE}" pid="10" name="MediaServiceImageTags">
    <vt:lpwstr/>
  </property>
</Properties>
</file>